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fdfecf6042e6c4/Desktop/ALY6050/"/>
    </mc:Choice>
  </mc:AlternateContent>
  <xr:revisionPtr revIDLastSave="0" documentId="8_{DC817019-EB44-4112-838C-13ADE26B06AC}" xr6:coauthVersionLast="47" xr6:coauthVersionMax="47" xr10:uidLastSave="{00000000-0000-0000-0000-000000000000}"/>
  <bookViews>
    <workbookView xWindow="-108" yWindow="-108" windowWidth="23256" windowHeight="12456" activeTab="3" xr2:uid="{99CDD6F0-72B0-4247-83E0-311D73B668E6}"/>
  </bookViews>
  <sheets>
    <sheet name="Answer Report 1" sheetId="15" r:id="rId1"/>
    <sheet name="Sensitivity Report 1" sheetId="16" r:id="rId2"/>
    <sheet name="Limits Report 1" sheetId="17" r:id="rId3"/>
    <sheet name="Sheet1" sheetId="2" r:id="rId4"/>
  </sheets>
  <definedNames>
    <definedName name="solver_adj" localSheetId="3" hidden="1">Sheet1!$G$23:$G$26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5</definedName>
    <definedName name="solver_lhs1" localSheetId="3" hidden="1">Sheet1!$L$29</definedName>
    <definedName name="solver_lhs2" localSheetId="3" hidden="1">Sheet1!$L$30</definedName>
    <definedName name="solver_lhs3" localSheetId="3" hidden="1">Sheet1!$L$31</definedName>
    <definedName name="solver_lhs4" localSheetId="3" hidden="1">Sheet1!$L$32</definedName>
    <definedName name="solver_lhs5" localSheetId="3" hidden="1">Sheet1!$L$15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4</definedName>
    <definedName name="solver_nwt" localSheetId="3" hidden="1">1</definedName>
    <definedName name="solver_opt" localSheetId="3" hidden="1">Sheet1!$I$23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el3" localSheetId="3" hidden="1">3</definedName>
    <definedName name="solver_rel4" localSheetId="3" hidden="1">3</definedName>
    <definedName name="solver_rel5" localSheetId="3" hidden="1">3</definedName>
    <definedName name="solver_rhs1" localSheetId="3" hidden="1">Sheet1!$N$29</definedName>
    <definedName name="solver_rhs2" localSheetId="3" hidden="1">Sheet1!$N$30</definedName>
    <definedName name="solver_rhs3" localSheetId="3" hidden="1">Sheet1!$N$31</definedName>
    <definedName name="solver_rhs4" localSheetId="3" hidden="1">Sheet1!$N$32</definedName>
    <definedName name="solver_rhs5" localSheetId="3" hidden="1">Sheet1!$N$15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1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2" l="1" a="1"/>
  <c r="L31" i="2" s="1"/>
  <c r="I23" i="2" a="1"/>
  <c r="I23" i="2" s="1"/>
  <c r="D27" i="2" s="1"/>
  <c r="S4" i="2"/>
  <c r="T4" i="2" s="1" a="1"/>
  <c r="T4" i="2" s="1"/>
  <c r="W10" i="2" a="1"/>
  <c r="W10" i="2" s="1"/>
  <c r="I4" i="2" a="1"/>
  <c r="I4" i="2" s="1"/>
  <c r="L10" i="2" a="1"/>
  <c r="L12" i="2" s="1"/>
  <c r="B7" i="2"/>
  <c r="L32" i="2" l="1"/>
  <c r="L29" i="2"/>
  <c r="L30" i="2"/>
  <c r="W11" i="2"/>
  <c r="W13" i="2"/>
  <c r="W12" i="2"/>
  <c r="L11" i="2"/>
  <c r="L10" i="2"/>
  <c r="L13" i="2"/>
  <c r="O29" i="2" l="1" a="1"/>
  <c r="Z10" i="2" a="1"/>
  <c r="Z10" i="2" s="1"/>
  <c r="O10" i="2"/>
  <c r="O10" i="2" a="1"/>
  <c r="O12" i="2" s="1"/>
  <c r="O11" i="2"/>
  <c r="O30" i="2" l="1"/>
  <c r="O29" i="2"/>
  <c r="O32" i="2"/>
  <c r="O31" i="2"/>
  <c r="Z11" i="2"/>
  <c r="Z13" i="2"/>
  <c r="Z12" i="2"/>
  <c r="O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<sst xmlns="http://schemas.openxmlformats.org/spreadsheetml/2006/main" count="210" uniqueCount="119">
  <si>
    <t>Manufacturing and Operating Cost</t>
  </si>
  <si>
    <t>Item</t>
  </si>
  <si>
    <t>Cost (in Dollars)</t>
  </si>
  <si>
    <t>Pressure Washer</t>
  </si>
  <si>
    <t>Go-Kart</t>
  </si>
  <si>
    <t>Generator</t>
  </si>
  <si>
    <t>Case of 5 Water Pumps</t>
  </si>
  <si>
    <t>Selling Price of Items</t>
  </si>
  <si>
    <t xml:space="preserve">Item </t>
  </si>
  <si>
    <t>Selling Price (in Dollars)</t>
  </si>
  <si>
    <t>Water Pump</t>
  </si>
  <si>
    <t>Decision Variables</t>
  </si>
  <si>
    <r>
      <t>X</t>
    </r>
    <r>
      <rPr>
        <vertAlign val="subscript"/>
        <sz val="11"/>
        <color theme="1"/>
        <rFont val="Aptos Narrow"/>
        <family val="2"/>
        <scheme val="minor"/>
      </rPr>
      <t xml:space="preserve">1 </t>
    </r>
    <r>
      <rPr>
        <sz val="11"/>
        <color theme="1"/>
        <rFont val="Aptos Narrow"/>
        <family val="2"/>
        <scheme val="minor"/>
      </rPr>
      <t>=</t>
    </r>
    <r>
      <rPr>
        <vertAlign val="subscript"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Number of Pressure Washers to stock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</si>
  <si>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= Number of Go Karts to stock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</si>
  <si>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= Number of Generators to stock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</si>
  <si>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= Number of Cases of Water Pump to stock</t>
    </r>
  </si>
  <si>
    <t>Goal : Maximizing Profit</t>
  </si>
  <si>
    <t>Constraints</t>
  </si>
  <si>
    <t>Z</t>
  </si>
  <si>
    <t>Cost of 1 Water Pump</t>
  </si>
  <si>
    <r>
      <t>Z = (499.99*X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+ 729.99*X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+ 700.99*X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+ 239.99*X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) - (330*X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+ 370*X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+ 410*X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+127*X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)</t>
    </r>
  </si>
  <si>
    <t>Inequality</t>
  </si>
  <si>
    <t>Constraint</t>
  </si>
  <si>
    <t>&lt;=</t>
  </si>
  <si>
    <t>X</t>
  </si>
  <si>
    <t>c</t>
  </si>
  <si>
    <t>A</t>
  </si>
  <si>
    <t>Ax</t>
  </si>
  <si>
    <t>B</t>
  </si>
  <si>
    <t>Slack</t>
  </si>
  <si>
    <t>Microsoft Excel 16.0 Answer Report</t>
  </si>
  <si>
    <t>Worksheet: [ALY6050_MOD5Project_PandyaK.xlsx]Sheet1</t>
  </si>
  <si>
    <t>Result: Solver found a solution.  All Constraints and optimality conditions are satisfied.</t>
  </si>
  <si>
    <t>Solver Engine</t>
  </si>
  <si>
    <t>Solver Options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</si>
  <si>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</si>
  <si>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</si>
  <si>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</si>
  <si>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</si>
  <si>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</si>
  <si>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</si>
  <si>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</si>
  <si>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</si>
  <si>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</si>
  <si>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</si>
  <si>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</si>
  <si>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$I$4</t>
  </si>
  <si>
    <t>Go-Kart Z</t>
  </si>
  <si>
    <t>$G$4</t>
  </si>
  <si>
    <t>Go-Kart X</t>
  </si>
  <si>
    <t>Contin</t>
  </si>
  <si>
    <t>$G$5</t>
  </si>
  <si>
    <t>Generator X</t>
  </si>
  <si>
    <t>$G$6</t>
  </si>
  <si>
    <t>Case of 5 Water Pumps X</t>
  </si>
  <si>
    <t>$G$7</t>
  </si>
  <si>
    <t>Cost of 1 Water Pump X</t>
  </si>
  <si>
    <t>$L$11</t>
  </si>
  <si>
    <t>$L$11&lt;=$N$11</t>
  </si>
  <si>
    <t>Not Binding</t>
  </si>
  <si>
    <t>$L$12</t>
  </si>
  <si>
    <t>$L$12&lt;=$N$12</t>
  </si>
  <si>
    <t>Binding</t>
  </si>
  <si>
    <t>$L$13</t>
  </si>
  <si>
    <t>$L$14</t>
  </si>
  <si>
    <t>Microsoft Excel 16.0 Sensitivity Report</t>
  </si>
  <si>
    <t>Final</t>
  </si>
  <si>
    <t>Value</t>
  </si>
  <si>
    <t>Reduced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</si>
  <si>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</si>
  <si>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</si>
  <si>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</si>
  <si>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</si>
  <si>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</si>
  <si>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</si>
  <si>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</si>
  <si>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r>
      <rPr>
        <b/>
        <sz val="11"/>
        <color theme="1"/>
        <rFont val="Aptos Narrow"/>
        <family val="2"/>
        <scheme val="minor"/>
      </rPr>
      <t>Selling Req:</t>
    </r>
    <r>
      <rPr>
        <sz val="11"/>
        <color theme="1"/>
        <rFont val="Aptos Narrow"/>
        <family val="2"/>
        <scheme val="minor"/>
      </rPr>
      <t xml:space="preserve"> 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&gt;= 2X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--&gt;</t>
    </r>
    <r>
      <rPr>
        <sz val="11"/>
        <color theme="1"/>
        <rFont val="Aptos Narrow"/>
        <family val="2"/>
        <scheme val="minor"/>
      </rPr>
      <t xml:space="preserve"> X</t>
    </r>
    <r>
      <rPr>
        <vertAlign val="subscript"/>
        <sz val="11"/>
        <color theme="1"/>
        <rFont val="Aptos Narrow"/>
        <family val="2"/>
        <scheme val="minor"/>
      </rPr>
      <t xml:space="preserve">3 </t>
    </r>
    <r>
      <rPr>
        <sz val="11"/>
        <color theme="1"/>
        <rFont val="Aptos Narrow"/>
        <family val="2"/>
        <scheme val="minor"/>
      </rPr>
      <t>- 2X</t>
    </r>
    <r>
      <rPr>
        <vertAlign val="subscript"/>
        <sz val="11"/>
        <color theme="1"/>
        <rFont val="Aptos Narrow"/>
        <family val="2"/>
        <scheme val="minor"/>
      </rPr>
      <t xml:space="preserve">4 </t>
    </r>
    <r>
      <rPr>
        <sz val="11"/>
        <color theme="1"/>
        <rFont val="Aptos Narrow"/>
        <family val="2"/>
        <scheme val="minor"/>
      </rPr>
      <t>&gt;= 0</t>
    </r>
  </si>
  <si>
    <r>
      <rPr>
        <b/>
        <sz val="11"/>
        <color theme="1"/>
        <rFont val="Aptos Narrow"/>
        <family val="2"/>
        <scheme val="minor"/>
      </rPr>
      <t>Advertising Req:</t>
    </r>
    <r>
      <rPr>
        <sz val="11"/>
        <color theme="1"/>
        <rFont val="Aptos Narrow"/>
        <family val="2"/>
        <scheme val="minor"/>
      </rPr>
      <t xml:space="preserve"> X</t>
    </r>
    <r>
      <rPr>
        <vertAlign val="subscript"/>
        <sz val="11"/>
        <color theme="1"/>
        <rFont val="Aptos Narrow"/>
        <family val="2"/>
        <scheme val="minor"/>
      </rPr>
      <t xml:space="preserve">1 </t>
    </r>
    <r>
      <rPr>
        <sz val="11"/>
        <color theme="1"/>
        <rFont val="Aptos Narrow"/>
        <family val="2"/>
        <scheme val="minor"/>
      </rPr>
      <t>+ X</t>
    </r>
    <r>
      <rPr>
        <vertAlign val="subscript"/>
        <sz val="11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>&gt;= 0.3(X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+ X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+ 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+ 0.8*X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) </t>
    </r>
    <r>
      <rPr>
        <b/>
        <sz val="11"/>
        <color theme="1"/>
        <rFont val="Aptos Narrow"/>
        <family val="2"/>
        <scheme val="minor"/>
      </rPr>
      <t>--&gt;</t>
    </r>
    <r>
      <rPr>
        <sz val="11"/>
        <color theme="1"/>
        <rFont val="Aptos Narrow"/>
        <family val="2"/>
        <scheme val="minor"/>
      </rPr>
      <t xml:space="preserve"> 0.7X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+ 0.7X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- 0.3X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- 0.3X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&gt;= 0</t>
    </r>
  </si>
  <si>
    <t>&gt;=</t>
  </si>
  <si>
    <r>
      <rPr>
        <b/>
        <sz val="11"/>
        <rFont val="Aptos Narrow"/>
        <family val="2"/>
        <scheme val="minor"/>
      </rPr>
      <t>Total Investment:</t>
    </r>
    <r>
      <rPr>
        <sz val="11"/>
        <rFont val="Aptos Narrow"/>
        <family val="2"/>
        <scheme val="minor"/>
      </rPr>
      <t xml:space="preserve"> (330X</t>
    </r>
    <r>
      <rPr>
        <vertAlign val="subscript"/>
        <sz val="11"/>
        <rFont val="Aptos Narrow"/>
        <family val="2"/>
        <scheme val="minor"/>
      </rPr>
      <t>1</t>
    </r>
    <r>
      <rPr>
        <sz val="11"/>
        <rFont val="Aptos Narrow"/>
        <family val="2"/>
        <scheme val="minor"/>
      </rPr>
      <t xml:space="preserve"> + 370X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 +  410X</t>
    </r>
    <r>
      <rPr>
        <vertAlign val="sub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 xml:space="preserve">  + 127X</t>
    </r>
    <r>
      <rPr>
        <vertAlign val="subscript"/>
        <sz val="11"/>
        <rFont val="Aptos Narrow"/>
        <family val="2"/>
        <scheme val="minor"/>
      </rPr>
      <t>4</t>
    </r>
    <r>
      <rPr>
        <sz val="11"/>
        <rFont val="Aptos Narrow"/>
        <family val="2"/>
        <scheme val="minor"/>
      </rPr>
      <t>) &lt;= 170000</t>
    </r>
  </si>
  <si>
    <r>
      <rPr>
        <b/>
        <sz val="11"/>
        <color theme="1"/>
        <rFont val="Aptos Narrow"/>
        <family val="2"/>
        <scheme val="minor"/>
      </rPr>
      <t>Storage Req:</t>
    </r>
    <r>
      <rPr>
        <sz val="11"/>
        <color theme="1"/>
        <rFont val="Aptos Narrow"/>
        <family val="2"/>
        <scheme val="minor"/>
      </rPr>
      <t xml:space="preserve"> 25X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vertAlign val="subscript"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+ 40X</t>
    </r>
    <r>
      <rPr>
        <vertAlign val="subscript"/>
        <sz val="11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>+ 25X</t>
    </r>
    <r>
      <rPr>
        <vertAlign val="subscript"/>
        <sz val="11"/>
        <color theme="1"/>
        <rFont val="Aptos Narrow"/>
        <family val="2"/>
        <scheme val="minor"/>
      </rPr>
      <t xml:space="preserve">3 </t>
    </r>
    <r>
      <rPr>
        <sz val="11"/>
        <color theme="1"/>
        <rFont val="Aptos Narrow"/>
        <family val="2"/>
        <scheme val="minor"/>
      </rPr>
      <t>+ 1.25X</t>
    </r>
    <r>
      <rPr>
        <vertAlign val="subscript"/>
        <sz val="11"/>
        <color theme="1"/>
        <rFont val="Aptos Narrow"/>
        <family val="2"/>
        <scheme val="minor"/>
      </rPr>
      <t xml:space="preserve">4 </t>
    </r>
    <r>
      <rPr>
        <sz val="11"/>
        <color theme="1"/>
        <rFont val="Aptos Narrow"/>
        <family val="2"/>
        <scheme val="minor"/>
      </rPr>
      <t>&lt;= 12300</t>
    </r>
  </si>
  <si>
    <t>Storage Req: 25X1 + 40X2 + 25X3 + 1.25X4 &lt;= 12300 Ax</t>
  </si>
  <si>
    <r>
      <rPr>
        <b/>
        <sz val="11"/>
        <color theme="1"/>
        <rFont val="Aptos Narrow"/>
        <family val="2"/>
        <scheme val="minor"/>
      </rPr>
      <t>Non Negativity:</t>
    </r>
    <r>
      <rPr>
        <sz val="11"/>
        <color theme="1"/>
        <rFont val="Aptos Narrow"/>
        <family val="2"/>
        <scheme val="minor"/>
      </rPr>
      <t xml:space="preserve"> X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, X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, 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, X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&gt; 0 </t>
    </r>
    <r>
      <rPr>
        <b/>
        <sz val="11"/>
        <color theme="1"/>
        <rFont val="Aptos Narrow"/>
        <family val="2"/>
        <scheme val="minor"/>
      </rPr>
      <t xml:space="preserve"> --&gt;</t>
    </r>
    <r>
      <rPr>
        <sz val="11"/>
        <color theme="1"/>
        <rFont val="Aptos Narrow"/>
        <family val="2"/>
        <scheme val="minor"/>
      </rPr>
      <t xml:space="preserve"> -X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, -X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, -X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, -X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&lt;= 0</t>
    </r>
  </si>
  <si>
    <r>
      <t>Z = 169.99 * X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+ 359.99 * X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+ 290.99*X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+ 142.99*X</t>
    </r>
    <r>
      <rPr>
        <vertAlign val="subscript"/>
        <sz val="11"/>
        <color theme="1"/>
        <rFont val="Aptos Narrow"/>
        <family val="2"/>
        <scheme val="minor"/>
      </rPr>
      <t>4</t>
    </r>
  </si>
  <si>
    <t>Iterations: 5 Subproblems: 0</t>
  </si>
  <si>
    <t>Advertising Req: X1 + X2 &gt;= 0.3(X1 + X2 + X3 + 0.8*X4) --&gt; 0.7X1 + 0.7X2 - 0.3X3 - 0.3X4 &gt;= 0 Ax</t>
  </si>
  <si>
    <t>Selling Req: X3 &gt;= 2X4  --&gt; X3 - 2X4 &gt;= 0 Ax</t>
  </si>
  <si>
    <t>$L$13&gt;=$N$13</t>
  </si>
  <si>
    <t>Non Negativity: X1, X2, X3, X4 &gt; 0  --&gt; -X1, -X2, -X3, -X4 &lt;= 0 Ax</t>
  </si>
  <si>
    <t>Optimal Solution Calculated using Excel Solver</t>
  </si>
  <si>
    <t xml:space="preserve">Slack </t>
  </si>
  <si>
    <t>Value of Reduced Gradient = 0.0091</t>
  </si>
  <si>
    <t>Engine: Simplex LP</t>
  </si>
  <si>
    <t>$L$14&gt;=$N$14</t>
  </si>
  <si>
    <t>Cost</t>
  </si>
  <si>
    <t>Coefficient</t>
  </si>
  <si>
    <t>Allowable</t>
  </si>
  <si>
    <t>Increase</t>
  </si>
  <si>
    <t>Decrease</t>
  </si>
  <si>
    <t>Shadow</t>
  </si>
  <si>
    <t>Price</t>
  </si>
  <si>
    <t>R.H. Side</t>
  </si>
  <si>
    <t>Report Created: 22-03-2024 19:19:25</t>
  </si>
  <si>
    <t>Solution Time: 0.063 Seconds.</t>
  </si>
  <si>
    <t>Max Time Unlimited,  Iterations 10, Precision 0.000001, Use Automatic Scaling</t>
  </si>
  <si>
    <t>Report Created: 22-03-2024 19:19:26</t>
  </si>
  <si>
    <r>
      <t>Calculating Non zero values of X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with Maximized Profit</t>
    </r>
  </si>
  <si>
    <t>Pressure Washer X</t>
  </si>
  <si>
    <t>Go Kart X</t>
  </si>
  <si>
    <t>Water Pump X</t>
  </si>
  <si>
    <t>Analysis of Additional Investment</t>
  </si>
  <si>
    <t>Calculation of Additional Investment</t>
  </si>
  <si>
    <t>Shadow Price for Total investment =  0.558</t>
  </si>
  <si>
    <t xml:space="preserve">It shows that for every additional dollar invested, the profit would increase by $0.55 </t>
  </si>
  <si>
    <t>Therefore to increase the profit by $50,000, the total increase would be $27,500</t>
  </si>
  <si>
    <t>Shadow Price for Storage = 3.841</t>
  </si>
  <si>
    <t>It shows that for a unit increase in storage, the profit would increase by $3.841</t>
  </si>
  <si>
    <t xml:space="preserve">Increasing the shelves from 82 (Area: 12300 sq. ft.) to 100 (15000 sq.ft.) </t>
  </si>
  <si>
    <t>Change in Profit by investing $27000 and increase the storage req by 18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</si>
</sst>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[$$-1009]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0" xfId="0" applyBorder="1"/>
    <xf numFmtId="0" fontId="8" fillId="0" borderId="9" xfId="0" applyFont="1" applyBorder="1" applyAlignment="1">
      <alignment horizontal="center"/>
    </xf>
    <xf numFmtId="0" fontId="0" fillId="0" borderId="11" xfId="0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1" xfId="0" applyBorder="1"/>
    <xf numFmtId="1" fontId="0" fillId="0" borderId="11" xfId="0" applyNumberFormat="1" applyBorder="1"/>
    <xf numFmtId="1" fontId="0" fillId="0" borderId="10" xfId="0" applyNumberFormat="1" applyBorder="1"/>
    <xf numFmtId="0" fontId="0" fillId="0" borderId="5" xfId="0" applyBorder="1"/>
    <xf numFmtId="0" fontId="0" fillId="0" borderId="6" xfId="0" applyBorder="1"/>
    <xf numFmtId="0" fontId="2" fillId="0" borderId="5" xfId="0" applyFon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0" fillId="0" borderId="0" xfId="0" applyNumberFormat="1"/>
    <xf numFmtId="1" fontId="0" fillId="0" borderId="5" xfId="0" applyNumberFormat="1" applyBorder="1" applyAlignment="1">
      <alignment horizontal="center"/>
    </xf>
    <xf numFmtId="0" fontId="2" fillId="6" borderId="0" xfId="0" applyFont="1" applyFill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indent="9"/>
    </xf>
    <xf numFmtId="0" fontId="2" fillId="3" borderId="0" xfId="0" applyFont="1" applyFill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/>
    <xf numFmtId="0" fontId="0" fillId="0" borderId="0" xfId="0" applyBorder="1" applyAlignment="1"/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numFmt numFmtId="165" formatCode="[$$-1009]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[$$-1009]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082A67-D413-4B6B-999D-B5F5DB522559}" name="Table2" displayName="Table2" ref="A2:B7" totalsRowShown="0">
  <autoFilter ref="A2:B7" xr:uid="{57082A67-D413-4B6B-999D-B5F5DB522559}">
    <filterColumn colId="0" hiddenButton="1"/>
    <filterColumn colId="1" hiddenButton="1"/>
  </autoFilter>
  <tableColumns count="2">
    <tableColumn id="1" xr3:uid="{14481F5B-3B05-456C-B642-C588887F0323}" name="Item" dataDxfId="3"/>
    <tableColumn id="2" xr3:uid="{BA610347-98D4-450C-9516-22BBA3993A1A}" name="Cost (in Dollars)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57B3B-7A44-4C43-931C-288A0915F3C2}" name="Table3" displayName="Table3" ref="A10:B14" totalsRowShown="0">
  <autoFilter ref="A10:B14" xr:uid="{81257B3B-7A44-4C43-931C-288A0915F3C2}">
    <filterColumn colId="0" hiddenButton="1"/>
    <filterColumn colId="1" hiddenButton="1"/>
  </autoFilter>
  <tableColumns count="2">
    <tableColumn id="1" xr3:uid="{2BF89F5B-9709-4ED0-8F2C-64B92EAEB2D1}" name="Item " dataDxfId="1"/>
    <tableColumn id="2" xr3:uid="{8D5DDD02-B7EE-410B-9AF6-22BB05B4A5ED}" name="Selling Price (in Dollars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D1EA-8987-4D79-BC07-9F179AAD0157}">
  <dimension ref="A1:G32"/>
  <sheetViews>
    <sheetView showGridLines="0" topLeftCell="A13" workbookViewId="0"/>
  </sheetViews>
  <sheetFormatPr defaultRowHeight="14.4" x14ac:dyDescent="0.3"/>
  <cols>
    <col min="1" max="1" width="2.33203125" customWidth="1"/>
    <col min="2" max="2" width="5.88671875" bestFit="1" customWidth="1"/>
    <col min="3" max="3" width="75.886718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1" t="s">
        <v>30</v>
      </c>
    </row>
    <row r="2" spans="1:5" x14ac:dyDescent="0.3">
      <c r="A2" s="1" t="s">
        <v>31</v>
      </c>
    </row>
    <row r="3" spans="1:5" x14ac:dyDescent="0.3">
      <c r="A3" s="1" t="s">
        <v>102</v>
      </c>
    </row>
    <row r="4" spans="1:5" x14ac:dyDescent="0.3">
      <c r="A4" s="1" t="s">
        <v>32</v>
      </c>
    </row>
    <row r="5" spans="1:5" x14ac:dyDescent="0.3">
      <c r="A5" s="1" t="s">
        <v>33</v>
      </c>
    </row>
    <row r="6" spans="1:5" x14ac:dyDescent="0.3">
      <c r="A6" s="1"/>
      <c r="B6" t="s">
        <v>92</v>
      </c>
    </row>
    <row r="7" spans="1:5" x14ac:dyDescent="0.3">
      <c r="A7" s="1"/>
      <c r="B7" t="s">
        <v>103</v>
      </c>
    </row>
    <row r="8" spans="1:5" x14ac:dyDescent="0.3">
      <c r="A8" s="1"/>
      <c r="B8" t="s">
        <v>84</v>
      </c>
    </row>
    <row r="9" spans="1:5" x14ac:dyDescent="0.3">
      <c r="A9" s="1" t="s">
        <v>34</v>
      </c>
    </row>
    <row r="10" spans="1:5" x14ac:dyDescent="0.3">
      <c r="B10" t="s">
        <v>104</v>
      </c>
    </row>
    <row r="11" spans="1:5" x14ac:dyDescent="0.3">
      <c r="B11" t="s">
        <v>35</v>
      </c>
    </row>
    <row r="14" spans="1:5" ht="15" thickBot="1" x14ac:dyDescent="0.35">
      <c r="A14" t="s">
        <v>36</v>
      </c>
    </row>
    <row r="15" spans="1:5" ht="15" thickBot="1" x14ac:dyDescent="0.35">
      <c r="B15" s="15" t="s">
        <v>37</v>
      </c>
      <c r="C15" s="15" t="s">
        <v>38</v>
      </c>
      <c r="D15" s="15" t="s">
        <v>39</v>
      </c>
      <c r="E15" s="15" t="s">
        <v>40</v>
      </c>
    </row>
    <row r="16" spans="1:5" ht="15" thickBot="1" x14ac:dyDescent="0.35">
      <c r="B16" s="14" t="s">
        <v>46</v>
      </c>
      <c r="C16" s="14" t="s">
        <v>47</v>
      </c>
      <c r="D16" s="14">
        <v>142050.70299986788</v>
      </c>
      <c r="E16" s="14">
        <v>142050.70299986788</v>
      </c>
    </row>
    <row r="19" spans="1:7" ht="15" thickBot="1" x14ac:dyDescent="0.35">
      <c r="A19" t="s">
        <v>41</v>
      </c>
    </row>
    <row r="20" spans="1:7" ht="15" thickBot="1" x14ac:dyDescent="0.35">
      <c r="B20" s="15" t="s">
        <v>37</v>
      </c>
      <c r="C20" s="15" t="s">
        <v>38</v>
      </c>
      <c r="D20" s="15" t="s">
        <v>39</v>
      </c>
      <c r="E20" s="15" t="s">
        <v>40</v>
      </c>
      <c r="F20" s="15" t="s">
        <v>42</v>
      </c>
    </row>
    <row r="21" spans="1:7" x14ac:dyDescent="0.3">
      <c r="B21" s="16" t="s">
        <v>48</v>
      </c>
      <c r="C21" s="16" t="s">
        <v>49</v>
      </c>
      <c r="D21" s="16">
        <v>0</v>
      </c>
      <c r="E21" s="16">
        <v>0</v>
      </c>
      <c r="F21" s="16" t="s">
        <v>50</v>
      </c>
    </row>
    <row r="22" spans="1:7" x14ac:dyDescent="0.3">
      <c r="B22" s="16" t="s">
        <v>51</v>
      </c>
      <c r="C22" s="16" t="s">
        <v>52</v>
      </c>
      <c r="D22" s="20">
        <v>155.17906700145363</v>
      </c>
      <c r="E22" s="20">
        <v>155.17906700145363</v>
      </c>
      <c r="F22" s="16" t="s">
        <v>50</v>
      </c>
    </row>
    <row r="23" spans="1:7" x14ac:dyDescent="0.3">
      <c r="B23" s="16" t="s">
        <v>53</v>
      </c>
      <c r="C23" s="16" t="s">
        <v>54</v>
      </c>
      <c r="D23" s="20">
        <v>237.76926126602362</v>
      </c>
      <c r="E23" s="20">
        <v>237.76926126602362</v>
      </c>
      <c r="F23" s="16" t="s">
        <v>50</v>
      </c>
    </row>
    <row r="24" spans="1:7" ht="15" thickBot="1" x14ac:dyDescent="0.35">
      <c r="B24" s="14" t="s">
        <v>55</v>
      </c>
      <c r="C24" s="14" t="s">
        <v>56</v>
      </c>
      <c r="D24" s="21">
        <v>118.88463063301181</v>
      </c>
      <c r="E24" s="21">
        <v>118.88463063301181</v>
      </c>
      <c r="F24" s="14" t="s">
        <v>50</v>
      </c>
    </row>
    <row r="27" spans="1:7" ht="15" thickBot="1" x14ac:dyDescent="0.35">
      <c r="A27" t="s">
        <v>17</v>
      </c>
    </row>
    <row r="28" spans="1:7" ht="15" thickBot="1" x14ac:dyDescent="0.35">
      <c r="B28" s="15" t="s">
        <v>37</v>
      </c>
      <c r="C28" s="15" t="s">
        <v>38</v>
      </c>
      <c r="D28" s="15" t="s">
        <v>43</v>
      </c>
      <c r="E28" s="15" t="s">
        <v>44</v>
      </c>
      <c r="F28" s="15" t="s">
        <v>45</v>
      </c>
      <c r="G28" s="15" t="s">
        <v>29</v>
      </c>
    </row>
    <row r="29" spans="1:7" x14ac:dyDescent="0.3">
      <c r="B29" s="16" t="s">
        <v>57</v>
      </c>
      <c r="C29" s="16" t="s">
        <v>81</v>
      </c>
      <c r="D29" s="16">
        <v>170000.00000000003</v>
      </c>
      <c r="E29" s="16" t="s">
        <v>58</v>
      </c>
      <c r="F29" s="16" t="s">
        <v>62</v>
      </c>
      <c r="G29" s="16">
        <v>0</v>
      </c>
    </row>
    <row r="30" spans="1:7" x14ac:dyDescent="0.3">
      <c r="B30" s="16" t="s">
        <v>60</v>
      </c>
      <c r="C30" s="16" t="s">
        <v>85</v>
      </c>
      <c r="D30" s="16">
        <v>12300</v>
      </c>
      <c r="E30" s="16" t="s">
        <v>61</v>
      </c>
      <c r="F30" s="16" t="s">
        <v>62</v>
      </c>
      <c r="G30" s="16">
        <v>0</v>
      </c>
    </row>
    <row r="31" spans="1:7" x14ac:dyDescent="0.3">
      <c r="B31" s="16" t="s">
        <v>63</v>
      </c>
      <c r="C31" s="16" t="s">
        <v>86</v>
      </c>
      <c r="D31" s="16">
        <v>1.6291793313069078</v>
      </c>
      <c r="E31" s="16" t="s">
        <v>87</v>
      </c>
      <c r="F31" s="16" t="s">
        <v>59</v>
      </c>
      <c r="G31" s="16">
        <v>1.6291793313069078</v>
      </c>
    </row>
    <row r="32" spans="1:7" ht="15" thickBot="1" x14ac:dyDescent="0.35">
      <c r="B32" s="14" t="s">
        <v>64</v>
      </c>
      <c r="C32" s="14" t="s">
        <v>88</v>
      </c>
      <c r="D32" s="14">
        <v>0</v>
      </c>
      <c r="E32" s="14" t="s">
        <v>93</v>
      </c>
      <c r="F32" s="14" t="s">
        <v>62</v>
      </c>
      <c r="G32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5437-3162-49B0-B62B-DCB7446104A8}">
  <dimension ref="A1:H20"/>
  <sheetViews>
    <sheetView showGridLines="0" workbookViewId="0">
      <selection activeCell="E18" sqref="E18"/>
    </sheetView>
  </sheetViews>
  <sheetFormatPr defaultRowHeight="14.4" x14ac:dyDescent="0.3"/>
  <cols>
    <col min="1" max="1" width="2.33203125" customWidth="1"/>
    <col min="2" max="2" width="5.88671875" bestFit="1" customWidth="1"/>
    <col min="3" max="3" width="75.88671875" bestFit="1" customWidth="1"/>
    <col min="4" max="4" width="12" bestFit="1" customWidth="1"/>
    <col min="5" max="5" width="12.6640625" bestFit="1" customWidth="1"/>
    <col min="6" max="6" width="10.109375" bestFit="1" customWidth="1"/>
    <col min="7" max="8" width="12" bestFit="1" customWidth="1"/>
  </cols>
  <sheetData>
    <row r="1" spans="1:8" x14ac:dyDescent="0.3">
      <c r="A1" s="1" t="s">
        <v>65</v>
      </c>
    </row>
    <row r="2" spans="1:8" x14ac:dyDescent="0.3">
      <c r="A2" s="1" t="s">
        <v>31</v>
      </c>
    </row>
    <row r="3" spans="1:8" x14ac:dyDescent="0.3">
      <c r="A3" s="1" t="s">
        <v>105</v>
      </c>
    </row>
    <row r="6" spans="1:8" ht="15" thickBot="1" x14ac:dyDescent="0.35">
      <c r="A6" t="s">
        <v>41</v>
      </c>
    </row>
    <row r="7" spans="1:8" x14ac:dyDescent="0.3">
      <c r="B7" s="17"/>
      <c r="C7" s="17"/>
      <c r="D7" s="17" t="s">
        <v>66</v>
      </c>
      <c r="E7" s="17" t="s">
        <v>68</v>
      </c>
      <c r="F7" s="17" t="s">
        <v>70</v>
      </c>
      <c r="G7" s="17" t="s">
        <v>96</v>
      </c>
      <c r="H7" s="17" t="s">
        <v>96</v>
      </c>
    </row>
    <row r="8" spans="1:8" ht="15" thickBot="1" x14ac:dyDescent="0.35">
      <c r="B8" s="18" t="s">
        <v>37</v>
      </c>
      <c r="C8" s="18" t="s">
        <v>38</v>
      </c>
      <c r="D8" s="18" t="s">
        <v>67</v>
      </c>
      <c r="E8" s="18" t="s">
        <v>94</v>
      </c>
      <c r="F8" s="18" t="s">
        <v>95</v>
      </c>
      <c r="G8" s="18" t="s">
        <v>97</v>
      </c>
      <c r="H8" s="18" t="s">
        <v>98</v>
      </c>
    </row>
    <row r="9" spans="1:8" x14ac:dyDescent="0.3">
      <c r="B9" s="16" t="s">
        <v>48</v>
      </c>
      <c r="C9" s="16" t="s">
        <v>107</v>
      </c>
      <c r="D9" s="16">
        <v>0</v>
      </c>
      <c r="E9" s="16">
        <v>-110.07152372142198</v>
      </c>
      <c r="F9" s="16">
        <v>169.99</v>
      </c>
      <c r="G9" s="16">
        <v>110.07152372142198</v>
      </c>
      <c r="H9" s="16">
        <v>1E+30</v>
      </c>
    </row>
    <row r="10" spans="1:8" x14ac:dyDescent="0.3">
      <c r="B10" s="16" t="s">
        <v>51</v>
      </c>
      <c r="C10" s="16" t="s">
        <v>108</v>
      </c>
      <c r="D10" s="16">
        <v>155.17906700145363</v>
      </c>
      <c r="E10" s="16">
        <v>0</v>
      </c>
      <c r="F10" s="16">
        <v>359.99</v>
      </c>
      <c r="G10" s="16">
        <v>205.840243902439</v>
      </c>
      <c r="H10" s="16">
        <v>76.738785638859468</v>
      </c>
    </row>
    <row r="11" spans="1:8" x14ac:dyDescent="0.3">
      <c r="B11" s="16" t="s">
        <v>53</v>
      </c>
      <c r="C11" s="16" t="s">
        <v>52</v>
      </c>
      <c r="D11" s="16">
        <v>237.76926126602362</v>
      </c>
      <c r="E11" s="16">
        <v>0</v>
      </c>
      <c r="F11" s="16">
        <v>290.99</v>
      </c>
      <c r="G11" s="16">
        <v>98.204905405405256</v>
      </c>
      <c r="H11" s="16">
        <v>131.86640625000001</v>
      </c>
    </row>
    <row r="12" spans="1:8" ht="15" thickBot="1" x14ac:dyDescent="0.35">
      <c r="B12" s="14" t="s">
        <v>55</v>
      </c>
      <c r="C12" s="14" t="s">
        <v>109</v>
      </c>
      <c r="D12" s="14">
        <v>118.88463063301181</v>
      </c>
      <c r="E12" s="14">
        <v>0</v>
      </c>
      <c r="F12" s="14">
        <v>142.99</v>
      </c>
      <c r="G12" s="14">
        <v>196.40981081081051</v>
      </c>
      <c r="H12" s="14">
        <v>89.119657342657476</v>
      </c>
    </row>
    <row r="14" spans="1:8" ht="15" thickBot="1" x14ac:dyDescent="0.35">
      <c r="A14" t="s">
        <v>17</v>
      </c>
    </row>
    <row r="15" spans="1:8" x14ac:dyDescent="0.3">
      <c r="B15" s="17"/>
      <c r="C15" s="17"/>
      <c r="D15" s="17" t="s">
        <v>66</v>
      </c>
      <c r="E15" s="17" t="s">
        <v>99</v>
      </c>
      <c r="F15" s="17" t="s">
        <v>22</v>
      </c>
      <c r="G15" s="17" t="s">
        <v>96</v>
      </c>
      <c r="H15" s="17" t="s">
        <v>96</v>
      </c>
    </row>
    <row r="16" spans="1:8" ht="15" thickBot="1" x14ac:dyDescent="0.35">
      <c r="B16" s="18" t="s">
        <v>37</v>
      </c>
      <c r="C16" s="18" t="s">
        <v>38</v>
      </c>
      <c r="D16" s="18" t="s">
        <v>67</v>
      </c>
      <c r="E16" s="18" t="s">
        <v>100</v>
      </c>
      <c r="F16" s="18" t="s">
        <v>101</v>
      </c>
      <c r="G16" s="18" t="s">
        <v>97</v>
      </c>
      <c r="H16" s="18" t="s">
        <v>98</v>
      </c>
    </row>
    <row r="17" spans="2:8" x14ac:dyDescent="0.3">
      <c r="B17" s="16" t="s">
        <v>57</v>
      </c>
      <c r="C17" s="16" t="s">
        <v>81</v>
      </c>
      <c r="D17" s="16">
        <v>170000.00000000003</v>
      </c>
      <c r="E17" s="16">
        <v>0.557648341482754</v>
      </c>
      <c r="F17" s="16">
        <v>170000</v>
      </c>
      <c r="G17" s="16">
        <v>428.79999999997023</v>
      </c>
      <c r="H17" s="16">
        <v>56224.999999999985</v>
      </c>
    </row>
    <row r="18" spans="2:8" x14ac:dyDescent="0.3">
      <c r="B18" s="16" t="s">
        <v>60</v>
      </c>
      <c r="C18" s="16" t="s">
        <v>85</v>
      </c>
      <c r="D18" s="16">
        <v>12300</v>
      </c>
      <c r="E18" s="16">
        <v>3.8415028412845218</v>
      </c>
      <c r="F18" s="16">
        <v>12300</v>
      </c>
      <c r="G18" s="16">
        <v>6078.3783783783765</v>
      </c>
      <c r="H18" s="16">
        <v>30.946882217087932</v>
      </c>
    </row>
    <row r="19" spans="2:8" x14ac:dyDescent="0.3">
      <c r="B19" s="16" t="s">
        <v>63</v>
      </c>
      <c r="C19" s="16" t="s">
        <v>86</v>
      </c>
      <c r="D19" s="16">
        <v>1.6291793313069078</v>
      </c>
      <c r="E19" s="16">
        <v>0</v>
      </c>
      <c r="F19" s="16">
        <v>0</v>
      </c>
      <c r="G19" s="16">
        <v>1.6291793313068792</v>
      </c>
      <c r="H19" s="16">
        <v>1E+30</v>
      </c>
    </row>
    <row r="20" spans="2:8" ht="15" thickBot="1" x14ac:dyDescent="0.35">
      <c r="B20" s="14" t="s">
        <v>64</v>
      </c>
      <c r="C20" s="14" t="s">
        <v>88</v>
      </c>
      <c r="D20" s="14">
        <v>0</v>
      </c>
      <c r="E20" s="14">
        <v>-33.683391040042352</v>
      </c>
      <c r="F20" s="14">
        <v>0</v>
      </c>
      <c r="G20" s="14">
        <v>27.916666666664888</v>
      </c>
      <c r="H20" s="14">
        <v>974.12019491066746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A22D-1B24-4D4E-AD06-ADBFBAF2E5AB}">
  <dimension ref="A1:J16"/>
  <sheetViews>
    <sheetView showGridLines="0" workbookViewId="0"/>
  </sheetViews>
  <sheetFormatPr defaultRowHeight="14.4" x14ac:dyDescent="0.3"/>
  <cols>
    <col min="1" max="1" width="2.33203125" customWidth="1"/>
    <col min="2" max="2" width="5.33203125" bestFit="1" customWidth="1"/>
    <col min="3" max="3" width="21" bestFit="1" customWidth="1"/>
    <col min="4" max="4" width="11" bestFit="1" customWidth="1"/>
    <col min="5" max="5" width="2.33203125" customWidth="1"/>
    <col min="6" max="6" width="5.88671875" bestFit="1" customWidth="1"/>
    <col min="7" max="7" width="11" bestFit="1" customWidth="1"/>
    <col min="8" max="8" width="2.33203125" customWidth="1"/>
    <col min="9" max="9" width="6.109375" bestFit="1" customWidth="1"/>
    <col min="10" max="10" width="11" bestFit="1" customWidth="1"/>
  </cols>
  <sheetData>
    <row r="1" spans="1:10" x14ac:dyDescent="0.3">
      <c r="A1" s="1" t="s">
        <v>69</v>
      </c>
    </row>
    <row r="2" spans="1:10" x14ac:dyDescent="0.3">
      <c r="A2" s="1" t="s">
        <v>31</v>
      </c>
    </row>
    <row r="3" spans="1:10" x14ac:dyDescent="0.3">
      <c r="A3" s="1" t="s">
        <v>105</v>
      </c>
    </row>
    <row r="5" spans="1:10" ht="15" thickBot="1" x14ac:dyDescent="0.35"/>
    <row r="6" spans="1:10" x14ac:dyDescent="0.3">
      <c r="B6" s="17"/>
      <c r="C6" s="17" t="s">
        <v>70</v>
      </c>
      <c r="D6" s="17"/>
    </row>
    <row r="7" spans="1:10" ht="15" thickBot="1" x14ac:dyDescent="0.35">
      <c r="B7" s="18" t="s">
        <v>37</v>
      </c>
      <c r="C7" s="18" t="s">
        <v>38</v>
      </c>
      <c r="D7" s="18" t="s">
        <v>67</v>
      </c>
    </row>
    <row r="8" spans="1:10" ht="15" thickBot="1" x14ac:dyDescent="0.35">
      <c r="B8" s="14" t="s">
        <v>46</v>
      </c>
      <c r="C8" s="14" t="s">
        <v>47</v>
      </c>
      <c r="D8" s="14">
        <v>142050.70299986788</v>
      </c>
    </row>
    <row r="10" spans="1:10" ht="15" thickBot="1" x14ac:dyDescent="0.35"/>
    <row r="11" spans="1:10" x14ac:dyDescent="0.3">
      <c r="B11" s="17"/>
      <c r="C11" s="17" t="s">
        <v>71</v>
      </c>
      <c r="D11" s="17"/>
      <c r="F11" s="17" t="s">
        <v>72</v>
      </c>
      <c r="G11" s="17" t="s">
        <v>70</v>
      </c>
      <c r="I11" s="17" t="s">
        <v>75</v>
      </c>
      <c r="J11" s="17" t="s">
        <v>70</v>
      </c>
    </row>
    <row r="12" spans="1:10" ht="15" thickBot="1" x14ac:dyDescent="0.35">
      <c r="B12" s="18" t="s">
        <v>37</v>
      </c>
      <c r="C12" s="18" t="s">
        <v>38</v>
      </c>
      <c r="D12" s="18" t="s">
        <v>67</v>
      </c>
      <c r="F12" s="18" t="s">
        <v>73</v>
      </c>
      <c r="G12" s="18" t="s">
        <v>74</v>
      </c>
      <c r="I12" s="18" t="s">
        <v>73</v>
      </c>
      <c r="J12" s="18" t="s">
        <v>74</v>
      </c>
    </row>
    <row r="13" spans="1:10" x14ac:dyDescent="0.3">
      <c r="B13" s="16" t="s">
        <v>48</v>
      </c>
      <c r="C13" s="16" t="s">
        <v>49</v>
      </c>
      <c r="D13" s="16">
        <v>0</v>
      </c>
      <c r="F13" s="16">
        <v>0</v>
      </c>
      <c r="G13" s="16">
        <v>142050.70299986788</v>
      </c>
      <c r="I13" s="16">
        <v>0</v>
      </c>
      <c r="J13" s="16">
        <v>142050.70299986788</v>
      </c>
    </row>
    <row r="14" spans="1:10" x14ac:dyDescent="0.3">
      <c r="B14" s="16" t="s">
        <v>51</v>
      </c>
      <c r="C14" s="16" t="s">
        <v>52</v>
      </c>
      <c r="D14" s="20">
        <v>155.17906700145363</v>
      </c>
      <c r="F14" s="20">
        <v>152.85166795673194</v>
      </c>
      <c r="G14" s="20">
        <v>141212.86261775851</v>
      </c>
      <c r="I14" s="20">
        <v>155.17906700145355</v>
      </c>
      <c r="J14" s="20">
        <v>142050.70299986785</v>
      </c>
    </row>
    <row r="15" spans="1:10" x14ac:dyDescent="0.3">
      <c r="B15" s="16" t="s">
        <v>53</v>
      </c>
      <c r="C15" s="16" t="s">
        <v>54</v>
      </c>
      <c r="D15" s="20">
        <v>237.76926126602362</v>
      </c>
      <c r="F15" s="20">
        <v>237.76926126602362</v>
      </c>
      <c r="G15" s="20">
        <v>142050.70299986788</v>
      </c>
      <c r="I15" s="20">
        <v>237.76926126602356</v>
      </c>
      <c r="J15" s="20">
        <v>142050.70299986785</v>
      </c>
    </row>
    <row r="16" spans="1:10" ht="15" thickBot="1" x14ac:dyDescent="0.35">
      <c r="B16" s="14" t="s">
        <v>55</v>
      </c>
      <c r="C16" s="14" t="s">
        <v>56</v>
      </c>
      <c r="D16" s="21">
        <v>118.88463063301181</v>
      </c>
      <c r="F16" s="21">
        <v>0</v>
      </c>
      <c r="G16" s="21">
        <v>125051.38966565351</v>
      </c>
      <c r="I16" s="21">
        <v>118.88463063301164</v>
      </c>
      <c r="J16" s="21">
        <v>142050.70299986785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9580-7180-47AD-A8ED-EBA15C7D212F}">
  <dimension ref="A1:AK32"/>
  <sheetViews>
    <sheetView tabSelected="1" topLeftCell="D1" zoomScale="81" zoomScaleNormal="55" workbookViewId="0">
      <selection activeCell="K33" sqref="K33"/>
    </sheetView>
  </sheetViews>
  <sheetFormatPr defaultRowHeight="14.4" x14ac:dyDescent="0.3"/>
  <cols>
    <col min="1" max="1" width="31.44140625" customWidth="1"/>
    <col min="2" max="2" width="22.6640625" customWidth="1"/>
    <col min="3" max="3" width="4" customWidth="1"/>
    <col min="4" max="4" width="76.77734375" customWidth="1"/>
    <col min="5" max="5" width="4.109375" customWidth="1"/>
    <col min="6" max="6" width="17.88671875" customWidth="1"/>
    <col min="7" max="7" width="13.109375" customWidth="1"/>
    <col min="8" max="8" width="9.109375" bestFit="1" customWidth="1"/>
    <col min="9" max="9" width="10.109375" customWidth="1"/>
    <col min="10" max="10" width="9.109375" bestFit="1" customWidth="1"/>
    <col min="12" max="13" width="11.44140625" customWidth="1"/>
    <col min="14" max="14" width="11" customWidth="1"/>
    <col min="15" max="15" width="13" bestFit="1" customWidth="1"/>
    <col min="18" max="18" width="19.33203125" bestFit="1" customWidth="1"/>
    <col min="19" max="21" width="9.109375" bestFit="1" customWidth="1"/>
    <col min="23" max="23" width="9.109375" bestFit="1" customWidth="1"/>
    <col min="25" max="25" width="9.109375" bestFit="1" customWidth="1"/>
    <col min="26" max="26" width="12.21875" bestFit="1" customWidth="1"/>
  </cols>
  <sheetData>
    <row r="1" spans="1:37" ht="15.6" x14ac:dyDescent="0.35">
      <c r="A1" s="40" t="s">
        <v>0</v>
      </c>
      <c r="B1" s="40"/>
      <c r="C1" s="1"/>
      <c r="D1" s="8" t="s">
        <v>16</v>
      </c>
      <c r="G1" s="32" t="s">
        <v>89</v>
      </c>
      <c r="H1" s="33"/>
      <c r="I1" s="33"/>
      <c r="J1" s="33"/>
      <c r="K1" s="33"/>
      <c r="L1" s="33"/>
      <c r="M1" s="33"/>
      <c r="N1" s="33"/>
      <c r="O1" s="34"/>
      <c r="R1" s="32" t="s">
        <v>106</v>
      </c>
      <c r="S1" s="33"/>
      <c r="T1" s="33"/>
      <c r="U1" s="33"/>
      <c r="V1" s="33"/>
      <c r="W1" s="33"/>
      <c r="X1" s="33"/>
      <c r="Y1" s="33"/>
      <c r="Z1" s="34"/>
      <c r="AC1" s="48"/>
      <c r="AD1" s="48"/>
      <c r="AE1" s="48"/>
      <c r="AF1" s="48"/>
      <c r="AG1" s="48"/>
      <c r="AH1" s="48"/>
      <c r="AI1" s="48"/>
      <c r="AJ1" s="48"/>
      <c r="AK1" s="48"/>
    </row>
    <row r="2" spans="1:37" ht="15.6" x14ac:dyDescent="0.35">
      <c r="A2" s="4" t="s">
        <v>1</v>
      </c>
      <c r="B2" s="5" t="s">
        <v>2</v>
      </c>
      <c r="D2" s="3" t="s">
        <v>20</v>
      </c>
      <c r="G2" s="22"/>
      <c r="O2" s="23"/>
      <c r="R2" s="35" t="s">
        <v>91</v>
      </c>
      <c r="S2" s="36"/>
      <c r="T2" s="36"/>
      <c r="U2" s="36"/>
      <c r="Z2" s="23"/>
      <c r="AC2" s="49"/>
      <c r="AD2" s="49"/>
      <c r="AE2" s="49"/>
      <c r="AF2" s="49"/>
      <c r="AG2" s="43"/>
      <c r="AH2" s="43"/>
      <c r="AI2" s="43"/>
      <c r="AJ2" s="43"/>
      <c r="AK2" s="43"/>
    </row>
    <row r="3" spans="1:37" ht="15.6" x14ac:dyDescent="0.35">
      <c r="A3" s="3" t="s">
        <v>3</v>
      </c>
      <c r="B3" s="7">
        <v>330</v>
      </c>
      <c r="D3" s="3" t="s">
        <v>83</v>
      </c>
      <c r="F3" s="1"/>
      <c r="G3" s="24" t="s">
        <v>24</v>
      </c>
      <c r="H3" s="2" t="s">
        <v>25</v>
      </c>
      <c r="I3" s="2" t="s">
        <v>18</v>
      </c>
      <c r="O3" s="23"/>
      <c r="R3" s="24" t="s">
        <v>24</v>
      </c>
      <c r="S3" s="2" t="s">
        <v>25</v>
      </c>
      <c r="T3" s="2" t="s">
        <v>18</v>
      </c>
      <c r="Z3" s="23"/>
      <c r="AC3" s="44"/>
      <c r="AD3" s="44"/>
      <c r="AE3" s="44"/>
      <c r="AF3" s="43"/>
      <c r="AG3" s="43"/>
      <c r="AH3" s="43"/>
      <c r="AI3" s="43"/>
      <c r="AJ3" s="43"/>
      <c r="AK3" s="43"/>
    </row>
    <row r="4" spans="1:37" x14ac:dyDescent="0.3">
      <c r="A4" s="3" t="s">
        <v>4</v>
      </c>
      <c r="B4" s="7">
        <v>370</v>
      </c>
      <c r="D4" s="6"/>
      <c r="G4" s="25">
        <v>0</v>
      </c>
      <c r="H4" s="3">
        <v>169.99</v>
      </c>
      <c r="I4" s="26" cm="1">
        <f t="array" ref="I4">MMULT(TRANSPOSE(H4:H7),G4:G7)</f>
        <v>142050.70299986788</v>
      </c>
      <c r="O4" s="23"/>
      <c r="R4" s="30">
        <v>51.612254861346003</v>
      </c>
      <c r="S4" s="3">
        <f>169.99 - 0.0091</f>
        <v>169.98090000000002</v>
      </c>
      <c r="T4" s="31" cm="1">
        <f t="array" ref="T4">MMULT(TRANSPOSE(S4:S7),R4:R7)</f>
        <v>136369.19379306183</v>
      </c>
      <c r="Z4" s="23"/>
      <c r="AC4" s="45"/>
      <c r="AD4" s="46"/>
      <c r="AE4" s="47"/>
      <c r="AF4" s="43"/>
      <c r="AG4" s="43"/>
      <c r="AH4" s="43"/>
      <c r="AI4" s="43"/>
      <c r="AJ4" s="43"/>
      <c r="AK4" s="43"/>
    </row>
    <row r="5" spans="1:37" x14ac:dyDescent="0.3">
      <c r="A5" s="3" t="s">
        <v>5</v>
      </c>
      <c r="B5" s="7">
        <v>410</v>
      </c>
      <c r="D5" s="6"/>
      <c r="G5" s="27">
        <v>155.17906700145363</v>
      </c>
      <c r="H5" s="3">
        <v>359.99</v>
      </c>
      <c r="I5" s="3"/>
      <c r="O5" s="23"/>
      <c r="R5" s="30">
        <v>136.729067080753</v>
      </c>
      <c r="S5" s="3">
        <v>359.99</v>
      </c>
      <c r="Z5" s="23"/>
      <c r="AC5" s="45"/>
      <c r="AD5" s="46"/>
      <c r="AE5" s="43"/>
      <c r="AF5" s="43"/>
      <c r="AG5" s="43"/>
      <c r="AH5" s="43"/>
      <c r="AI5" s="43"/>
      <c r="AJ5" s="43"/>
      <c r="AK5" s="43"/>
    </row>
    <row r="6" spans="1:37" x14ac:dyDescent="0.3">
      <c r="A6" s="3" t="s">
        <v>6</v>
      </c>
      <c r="B6" s="7">
        <v>635</v>
      </c>
      <c r="D6" s="6"/>
      <c r="F6" s="2"/>
      <c r="G6" s="27">
        <v>237.76926126602362</v>
      </c>
      <c r="H6" s="3">
        <v>290.99</v>
      </c>
      <c r="I6" s="3"/>
      <c r="L6" s="1"/>
      <c r="M6" s="1"/>
      <c r="N6" s="2"/>
      <c r="O6" s="28"/>
      <c r="R6" s="30">
        <v>216.21584176531599</v>
      </c>
      <c r="S6" s="3">
        <v>290.99</v>
      </c>
      <c r="Z6" s="23"/>
      <c r="AC6" s="45"/>
      <c r="AD6" s="46"/>
      <c r="AE6" s="43"/>
      <c r="AF6" s="43"/>
      <c r="AG6" s="43"/>
      <c r="AH6" s="43"/>
      <c r="AI6" s="43"/>
      <c r="AJ6" s="43"/>
      <c r="AK6" s="43"/>
    </row>
    <row r="7" spans="1:37" x14ac:dyDescent="0.3">
      <c r="A7" s="3" t="s">
        <v>19</v>
      </c>
      <c r="B7" s="7">
        <f>B6/5</f>
        <v>127</v>
      </c>
      <c r="G7" s="27">
        <v>118.88463063301181</v>
      </c>
      <c r="H7" s="3">
        <v>142.99</v>
      </c>
      <c r="I7" s="3"/>
      <c r="O7" s="23"/>
      <c r="R7" s="30">
        <v>108.10792088265799</v>
      </c>
      <c r="S7" s="3">
        <v>142.99</v>
      </c>
      <c r="Z7" s="23"/>
      <c r="AC7" s="45"/>
      <c r="AD7" s="46"/>
      <c r="AE7" s="43"/>
      <c r="AF7" s="43"/>
      <c r="AG7" s="43"/>
      <c r="AH7" s="43"/>
      <c r="AI7" s="43"/>
      <c r="AJ7" s="43"/>
      <c r="AK7" s="43"/>
    </row>
    <row r="8" spans="1:37" x14ac:dyDescent="0.3">
      <c r="G8" s="22"/>
      <c r="J8" s="29"/>
      <c r="K8" s="29"/>
      <c r="O8" s="23"/>
      <c r="R8" s="22"/>
      <c r="Z8" s="23"/>
      <c r="AC8" s="43"/>
      <c r="AD8" s="43"/>
      <c r="AE8" s="43"/>
      <c r="AF8" s="43"/>
      <c r="AG8" s="43"/>
      <c r="AH8" s="43"/>
      <c r="AI8" s="43"/>
      <c r="AJ8" s="43"/>
      <c r="AK8" s="43"/>
    </row>
    <row r="9" spans="1:37" x14ac:dyDescent="0.3">
      <c r="A9" s="40" t="s">
        <v>7</v>
      </c>
      <c r="B9" s="40"/>
      <c r="D9" s="9" t="s">
        <v>17</v>
      </c>
      <c r="G9" s="37" t="s">
        <v>26</v>
      </c>
      <c r="H9" s="38"/>
      <c r="I9" s="38"/>
      <c r="J9" s="39"/>
      <c r="K9" s="2"/>
      <c r="L9" s="13" t="s">
        <v>27</v>
      </c>
      <c r="M9" s="13" t="s">
        <v>21</v>
      </c>
      <c r="N9" s="13" t="s">
        <v>28</v>
      </c>
      <c r="O9" s="13" t="s">
        <v>29</v>
      </c>
      <c r="R9" s="37" t="s">
        <v>26</v>
      </c>
      <c r="S9" s="38"/>
      <c r="T9" s="38"/>
      <c r="U9" s="39"/>
      <c r="W9" s="13" t="s">
        <v>27</v>
      </c>
      <c r="X9" s="13" t="s">
        <v>21</v>
      </c>
      <c r="Y9" s="13" t="s">
        <v>28</v>
      </c>
      <c r="Z9" s="13" t="s">
        <v>90</v>
      </c>
      <c r="AC9" s="48"/>
      <c r="AD9" s="48"/>
      <c r="AE9" s="48"/>
      <c r="AF9" s="48"/>
      <c r="AG9" s="43"/>
      <c r="AH9" s="44"/>
      <c r="AI9" s="44"/>
      <c r="AJ9" s="44"/>
      <c r="AK9" s="44"/>
    </row>
    <row r="10" spans="1:37" ht="15.6" x14ac:dyDescent="0.35">
      <c r="A10" s="4" t="s">
        <v>8</v>
      </c>
      <c r="B10" s="5" t="s">
        <v>9</v>
      </c>
      <c r="D10" s="10" t="s">
        <v>79</v>
      </c>
      <c r="G10" s="12">
        <v>330</v>
      </c>
      <c r="H10" s="12">
        <v>370</v>
      </c>
      <c r="I10" s="12">
        <v>410</v>
      </c>
      <c r="J10" s="12">
        <v>127</v>
      </c>
      <c r="K10" s="3"/>
      <c r="L10" s="12">
        <f t="array" ref="L10:L13">MMULT(G10:J13,G4:G7)</f>
        <v>170000.00000000003</v>
      </c>
      <c r="M10" s="12" t="s">
        <v>23</v>
      </c>
      <c r="N10" s="12">
        <v>170000</v>
      </c>
      <c r="O10" s="12">
        <f t="array" ref="O10:O13">ABS(L10:L13-N10:N13)</f>
        <v>2.9103830456733704E-11</v>
      </c>
      <c r="R10" s="12">
        <v>330</v>
      </c>
      <c r="S10" s="12">
        <v>370</v>
      </c>
      <c r="T10" s="12">
        <v>410</v>
      </c>
      <c r="U10" s="12">
        <v>127</v>
      </c>
      <c r="W10" s="19">
        <f t="array" ref="W10:W13">MMULT(R10:U13,R4:R7)</f>
        <v>169999.99999999991</v>
      </c>
      <c r="X10" s="12" t="s">
        <v>23</v>
      </c>
      <c r="Y10" s="12">
        <v>170000</v>
      </c>
      <c r="Z10" s="19">
        <f t="array" ref="Z10:Z13">ABS(W10:W13-Y10:Y13)</f>
        <v>8.7311491370201111E-11</v>
      </c>
      <c r="AC10" s="46"/>
      <c r="AD10" s="46"/>
      <c r="AE10" s="46"/>
      <c r="AF10" s="46"/>
      <c r="AG10" s="43"/>
      <c r="AH10" s="43"/>
      <c r="AI10" s="46"/>
      <c r="AJ10" s="46"/>
      <c r="AK10" s="43"/>
    </row>
    <row r="11" spans="1:37" ht="15.6" x14ac:dyDescent="0.35">
      <c r="A11" s="3" t="s">
        <v>3</v>
      </c>
      <c r="B11" s="7">
        <v>499.99</v>
      </c>
      <c r="D11" s="11" t="s">
        <v>80</v>
      </c>
      <c r="G11" s="12">
        <v>25</v>
      </c>
      <c r="H11" s="12">
        <v>40</v>
      </c>
      <c r="I11" s="12">
        <v>25</v>
      </c>
      <c r="J11" s="12">
        <v>1.25</v>
      </c>
      <c r="K11" s="3"/>
      <c r="L11" s="12">
        <v>12300</v>
      </c>
      <c r="M11" s="12" t="s">
        <v>23</v>
      </c>
      <c r="N11" s="12">
        <v>12300</v>
      </c>
      <c r="O11" s="12">
        <v>0</v>
      </c>
      <c r="R11" s="12">
        <v>25</v>
      </c>
      <c r="S11" s="12">
        <v>40</v>
      </c>
      <c r="T11" s="12">
        <v>25</v>
      </c>
      <c r="U11" s="12">
        <v>1.25</v>
      </c>
      <c r="W11" s="19">
        <v>12299.999999999991</v>
      </c>
      <c r="X11" s="12" t="s">
        <v>23</v>
      </c>
      <c r="Y11" s="12">
        <v>12300</v>
      </c>
      <c r="Z11" s="19">
        <v>9.0949470177292824E-12</v>
      </c>
      <c r="AC11" s="46"/>
      <c r="AD11" s="46"/>
      <c r="AE11" s="46"/>
      <c r="AF11" s="46"/>
      <c r="AG11" s="43"/>
      <c r="AH11" s="43"/>
      <c r="AI11" s="46"/>
      <c r="AJ11" s="46"/>
      <c r="AK11" s="43"/>
    </row>
    <row r="12" spans="1:37" ht="15.6" x14ac:dyDescent="0.35">
      <c r="A12" s="3" t="s">
        <v>4</v>
      </c>
      <c r="B12" s="7">
        <v>729.99</v>
      </c>
      <c r="D12" s="11" t="s">
        <v>77</v>
      </c>
      <c r="G12" s="12">
        <v>0.7</v>
      </c>
      <c r="H12" s="12">
        <v>0.7</v>
      </c>
      <c r="I12" s="12">
        <v>-0.3</v>
      </c>
      <c r="J12" s="12">
        <v>-0.3</v>
      </c>
      <c r="K12" s="3"/>
      <c r="L12" s="12">
        <v>1.6291793313069078</v>
      </c>
      <c r="M12" s="12" t="s">
        <v>78</v>
      </c>
      <c r="N12" s="12">
        <v>0</v>
      </c>
      <c r="O12" s="12">
        <v>1.6291793313069078</v>
      </c>
      <c r="R12" s="12">
        <v>0.7</v>
      </c>
      <c r="S12" s="12">
        <v>0.7</v>
      </c>
      <c r="T12" s="12">
        <v>-0.3</v>
      </c>
      <c r="U12" s="12">
        <v>-0.3</v>
      </c>
      <c r="W12" s="19">
        <v>34.541796565077078</v>
      </c>
      <c r="X12" s="12" t="s">
        <v>78</v>
      </c>
      <c r="Y12" s="12">
        <v>0</v>
      </c>
      <c r="Z12" s="19">
        <v>34.541796565077078</v>
      </c>
      <c r="AC12" s="46"/>
      <c r="AD12" s="46"/>
      <c r="AE12" s="46"/>
      <c r="AF12" s="46"/>
      <c r="AG12" s="43"/>
      <c r="AH12" s="43"/>
      <c r="AI12" s="46"/>
      <c r="AJ12" s="46"/>
      <c r="AK12" s="43"/>
    </row>
    <row r="13" spans="1:37" ht="15.6" x14ac:dyDescent="0.35">
      <c r="A13" s="3" t="s">
        <v>5</v>
      </c>
      <c r="B13" s="7">
        <v>700.99</v>
      </c>
      <c r="D13" s="11" t="s">
        <v>76</v>
      </c>
      <c r="G13" s="12">
        <v>0</v>
      </c>
      <c r="H13" s="12">
        <v>0</v>
      </c>
      <c r="I13" s="12">
        <v>1</v>
      </c>
      <c r="J13" s="12">
        <v>-2</v>
      </c>
      <c r="K13" s="3"/>
      <c r="L13" s="12">
        <v>0</v>
      </c>
      <c r="M13" s="12" t="s">
        <v>78</v>
      </c>
      <c r="N13" s="12">
        <v>0</v>
      </c>
      <c r="O13" s="12">
        <v>0</v>
      </c>
      <c r="R13" s="12">
        <v>0</v>
      </c>
      <c r="S13" s="12">
        <v>0</v>
      </c>
      <c r="T13" s="12">
        <v>1</v>
      </c>
      <c r="U13" s="12">
        <v>-2</v>
      </c>
      <c r="W13" s="19">
        <v>0</v>
      </c>
      <c r="X13" s="12" t="s">
        <v>78</v>
      </c>
      <c r="Y13" s="12">
        <v>0</v>
      </c>
      <c r="Z13" s="19">
        <v>0</v>
      </c>
      <c r="AC13" s="46"/>
      <c r="AD13" s="46"/>
      <c r="AE13" s="46"/>
      <c r="AF13" s="46"/>
      <c r="AG13" s="43"/>
      <c r="AH13" s="43"/>
      <c r="AI13" s="46"/>
      <c r="AJ13" s="46"/>
      <c r="AK13" s="43"/>
    </row>
    <row r="14" spans="1:37" ht="15.6" x14ac:dyDescent="0.35">
      <c r="A14" s="3" t="s">
        <v>10</v>
      </c>
      <c r="B14" s="7">
        <v>269.99</v>
      </c>
      <c r="D14" s="11" t="s">
        <v>82</v>
      </c>
    </row>
    <row r="15" spans="1:37" x14ac:dyDescent="0.3">
      <c r="G15" s="3"/>
      <c r="H15" s="3"/>
      <c r="I15" s="3"/>
      <c r="J15" s="3"/>
      <c r="L15" s="3"/>
      <c r="M15" s="3"/>
      <c r="N15" s="3"/>
      <c r="O15" s="3"/>
    </row>
    <row r="17" spans="1:15" x14ac:dyDescent="0.3">
      <c r="A17" s="42" t="s">
        <v>11</v>
      </c>
      <c r="B17" s="42"/>
      <c r="C17" s="1"/>
      <c r="D17" s="8" t="s">
        <v>111</v>
      </c>
    </row>
    <row r="18" spans="1:15" ht="15.6" x14ac:dyDescent="0.35">
      <c r="A18" s="41" t="s">
        <v>12</v>
      </c>
      <c r="B18" s="41"/>
      <c r="D18" t="s">
        <v>112</v>
      </c>
    </row>
    <row r="19" spans="1:15" ht="15.6" x14ac:dyDescent="0.35">
      <c r="A19" s="41" t="s">
        <v>13</v>
      </c>
      <c r="B19" s="41"/>
      <c r="D19" t="s">
        <v>113</v>
      </c>
    </row>
    <row r="20" spans="1:15" ht="15.6" x14ac:dyDescent="0.35">
      <c r="A20" s="41" t="s">
        <v>14</v>
      </c>
      <c r="B20" s="41"/>
      <c r="D20" t="s">
        <v>114</v>
      </c>
      <c r="G20" s="32" t="s">
        <v>110</v>
      </c>
      <c r="H20" s="33"/>
      <c r="I20" s="33"/>
      <c r="J20" s="33"/>
      <c r="K20" s="33"/>
      <c r="L20" s="33"/>
      <c r="M20" s="33"/>
      <c r="N20" s="33"/>
      <c r="O20" s="34"/>
    </row>
    <row r="21" spans="1:15" ht="15.6" x14ac:dyDescent="0.35">
      <c r="A21" s="41" t="s">
        <v>15</v>
      </c>
      <c r="B21" s="41"/>
      <c r="G21" s="22"/>
      <c r="O21" s="23"/>
    </row>
    <row r="22" spans="1:15" x14ac:dyDescent="0.3">
      <c r="D22" t="s">
        <v>115</v>
      </c>
      <c r="G22" s="24" t="s">
        <v>24</v>
      </c>
      <c r="H22" s="2" t="s">
        <v>25</v>
      </c>
      <c r="I22" s="2" t="s">
        <v>18</v>
      </c>
      <c r="O22" s="23"/>
    </row>
    <row r="23" spans="1:15" x14ac:dyDescent="0.3">
      <c r="D23" t="s">
        <v>116</v>
      </c>
      <c r="G23" s="25">
        <v>0</v>
      </c>
      <c r="H23" s="3">
        <v>169.98</v>
      </c>
      <c r="I23" s="26" cm="1">
        <f t="array" ref="I23">MMULT(TRANSPOSE(H23:H26),G23:G26)</f>
        <v>167758.09006211182</v>
      </c>
      <c r="O23" s="23"/>
    </row>
    <row r="24" spans="1:15" x14ac:dyDescent="0.3">
      <c r="D24" t="s">
        <v>117</v>
      </c>
      <c r="G24" s="27">
        <v>215.83850931677006</v>
      </c>
      <c r="H24" s="3">
        <v>359.99</v>
      </c>
      <c r="I24" s="3"/>
      <c r="O24" s="23"/>
    </row>
    <row r="25" spans="1:15" x14ac:dyDescent="0.3">
      <c r="G25" s="27">
        <v>248.44720496894422</v>
      </c>
      <c r="H25" s="3">
        <v>290.99</v>
      </c>
      <c r="I25" s="3"/>
      <c r="L25" s="1"/>
      <c r="M25" s="1"/>
      <c r="N25" s="2"/>
      <c r="O25" s="28"/>
    </row>
    <row r="26" spans="1:15" x14ac:dyDescent="0.3">
      <c r="D26" s="8" t="s">
        <v>118</v>
      </c>
      <c r="G26" s="27">
        <v>124.22360248447211</v>
      </c>
      <c r="H26" s="3">
        <v>142.99</v>
      </c>
      <c r="I26" s="3"/>
      <c r="O26" s="23"/>
    </row>
    <row r="27" spans="1:15" x14ac:dyDescent="0.3">
      <c r="D27" s="50">
        <f>I23-I4</f>
        <v>25707.387062243943</v>
      </c>
      <c r="G27" s="22"/>
      <c r="J27" s="29"/>
      <c r="K27" s="29"/>
      <c r="O27" s="23"/>
    </row>
    <row r="28" spans="1:15" x14ac:dyDescent="0.3">
      <c r="G28" s="37" t="s">
        <v>26</v>
      </c>
      <c r="H28" s="38"/>
      <c r="I28" s="38"/>
      <c r="J28" s="39"/>
      <c r="K28" s="2"/>
      <c r="L28" s="13" t="s">
        <v>27</v>
      </c>
      <c r="M28" s="13" t="s">
        <v>21</v>
      </c>
      <c r="N28" s="13" t="s">
        <v>28</v>
      </c>
      <c r="O28" s="13" t="s">
        <v>29</v>
      </c>
    </row>
    <row r="29" spans="1:15" x14ac:dyDescent="0.3">
      <c r="G29" s="12">
        <v>330</v>
      </c>
      <c r="H29" s="12">
        <v>370</v>
      </c>
      <c r="I29" s="12">
        <v>410</v>
      </c>
      <c r="J29" s="12">
        <v>127</v>
      </c>
      <c r="K29" s="3"/>
      <c r="L29" s="12">
        <f t="array" ref="L29:L32">MMULT(G29:J32,G23:G26)</f>
        <v>197500</v>
      </c>
      <c r="M29" s="12" t="s">
        <v>23</v>
      </c>
      <c r="N29" s="12">
        <v>197500</v>
      </c>
      <c r="O29" s="12">
        <f t="array" ref="O29:O32">ABS(L29:L32-N29:N32)</f>
        <v>0</v>
      </c>
    </row>
    <row r="30" spans="1:15" x14ac:dyDescent="0.3">
      <c r="G30" s="12">
        <v>25</v>
      </c>
      <c r="H30" s="12">
        <v>40</v>
      </c>
      <c r="I30" s="12">
        <v>25</v>
      </c>
      <c r="J30" s="12">
        <v>1.25</v>
      </c>
      <c r="K30" s="3"/>
      <c r="L30" s="12">
        <v>14999.999999999998</v>
      </c>
      <c r="M30" s="12" t="s">
        <v>23</v>
      </c>
      <c r="N30" s="12">
        <v>15000</v>
      </c>
      <c r="O30" s="12">
        <v>1.8189894035458565E-12</v>
      </c>
    </row>
    <row r="31" spans="1:15" x14ac:dyDescent="0.3">
      <c r="G31" s="12">
        <v>0.7</v>
      </c>
      <c r="H31" s="12">
        <v>0.7</v>
      </c>
      <c r="I31" s="12">
        <v>-0.3</v>
      </c>
      <c r="J31" s="12">
        <v>-0.3</v>
      </c>
      <c r="K31" s="3"/>
      <c r="L31" s="12">
        <v>39.28571428571415</v>
      </c>
      <c r="M31" s="12" t="s">
        <v>78</v>
      </c>
      <c r="N31" s="12">
        <v>0</v>
      </c>
      <c r="O31" s="12">
        <v>39.28571428571415</v>
      </c>
    </row>
    <row r="32" spans="1:15" x14ac:dyDescent="0.3">
      <c r="G32" s="12">
        <v>0</v>
      </c>
      <c r="H32" s="12">
        <v>0</v>
      </c>
      <c r="I32" s="12">
        <v>1</v>
      </c>
      <c r="J32" s="12">
        <v>-2</v>
      </c>
      <c r="K32" s="3"/>
      <c r="L32" s="12">
        <v>0</v>
      </c>
      <c r="M32" s="12" t="s">
        <v>78</v>
      </c>
      <c r="N32" s="12">
        <v>0</v>
      </c>
      <c r="O32" s="12">
        <v>0</v>
      </c>
    </row>
  </sheetData>
  <scenarios current="10" show="10">
    <scenario name="s1" count="4" user="Kevin Pandya" comment="Created by Kevin Pandya on 3/22/2024">
      <inputCells r="R4" val="1"/>
      <inputCells r="R5" val="1"/>
      <inputCells r="R6" val="1"/>
      <inputCells r="R7" val="1"/>
    </scenario>
    <scenario name="s2" count="4" user="Kevin Pandya" comment="Created by Kevin Pandya on 3/22/2024">
      <inputCells r="R4" val="1"/>
      <inputCells r="R5" val="1"/>
      <inputCells r="R6" val="1.2"/>
      <inputCells r="R7" val="0.6"/>
    </scenario>
    <scenario name="s3" count="4" user="Kevin Pandya" comment="Created by Kevin Pandya on 3/22/2024">
      <inputCells r="R4" val="75.2538560301914"/>
      <inputCells r="R5" val="158.2567585304"/>
      <inputCells r="R6" val="159.54666372797"/>
      <inputCells r="R7" val="79.773331863985"/>
    </scenario>
    <scenario name="s4" count="4" user="Kevin Pandya" comment="Created by Kevin Pandya on 3/22/2024">
      <inputCells r="R4" val="51.612254861346"/>
      <inputCells r="R5" val="136.729067080753"/>
      <inputCells r="R6" val="216.215841765316"/>
      <inputCells r="R7" val="108.107920882658"/>
    </scenario>
    <scenario name="s5" count="4" user="Kevin Pandya" comment="Created by Kevin Pandya on 3/22/2024">
      <inputCells r="R4" val="0"/>
      <inputCells r="R5" val="155.179066637008"/>
      <inputCells r="R6" val="237.769261834914"/>
      <inputCells r="R7" val="118.884630917457"/>
    </scenario>
    <scenario name="sss1" count="4" user="Kevin Pandya" comment="Created by Kevin Pandya on 3/23/2024">
      <inputCells r="AC4" val="0" numFmtId="1"/>
      <inputCells r="AC5" val="0" numFmtId="1"/>
      <inputCells r="AC6" val="0" numFmtId="1"/>
      <inputCells r="AC7" val="0" numFmtId="1"/>
    </scenario>
    <scenario name="ss2" count="4" user="Kevin Pandya" comment="Created by Kevin Pandya on 3/23/2024">
      <inputCells r="AC4" val="0" numFmtId="1"/>
      <inputCells r="AC5" val="0" numFmtId="1"/>
      <inputCells r="AC6" val="0" numFmtId="1"/>
      <inputCells r="AC7" val="0" numFmtId="1"/>
    </scenario>
    <scenario name="sss3" count="4" user="Kevin Pandya" comment="Created by Kevin Pandya on 3/23/2024">
      <inputCells r="AC4" val="132.124352331606" numFmtId="1"/>
      <inputCells r="AC5" val="0" numFmtId="1"/>
      <inputCells r="AC6" val="308.290155440415" numFmtId="1"/>
      <inputCells r="AC7" val="0" numFmtId="1"/>
    </scenario>
    <scenario name="ss4" count="4" user="Kevin Pandya" comment="Created by Kevin Pandya on 3/23/2024">
      <inputCells r="AC4" val="24.9686847599167" numFmtId="1"/>
      <inputCells r="AC5" val="103.924843423799" numFmtId="1"/>
      <inputCells r="AC6" val="300.751565762004" numFmtId="1"/>
      <inputCells r="AC7" val="0" numFmtId="1"/>
    </scenario>
    <scenario name="ss5" count="4" user="Kevin Pandya" comment="Created by Kevin Pandya on 3/23/2024">
      <inputCells r="AC4" val="0" numFmtId="1"/>
      <inputCells r="AC5" val="125.084745762712" numFmtId="1"/>
      <inputCells r="AC6" val="291.864406779661" numFmtId="1"/>
      <inputCells r="AC7" val="0" numFmtId="1"/>
    </scenario>
    <scenario name="as1" count="4" user="Kevin Pandya" comment="Created by Kevin Pandya on 3/23/2024">
      <inputCells r="G23" val="185.175539118658"/>
      <inputCells r="G24" val="0" numFmtId="1"/>
      <inputCells r="G25" val="288.050838629024" numFmtId="1"/>
      <inputCells r="G26" val="144.025419314512" numFmtId="1"/>
    </scenario>
  </scenarios>
  <mergeCells count="14">
    <mergeCell ref="G20:O20"/>
    <mergeCell ref="G28:J28"/>
    <mergeCell ref="A1:B1"/>
    <mergeCell ref="A9:B9"/>
    <mergeCell ref="A21:B21"/>
    <mergeCell ref="A17:B17"/>
    <mergeCell ref="A18:B18"/>
    <mergeCell ref="A19:B19"/>
    <mergeCell ref="A20:B20"/>
    <mergeCell ref="G1:O1"/>
    <mergeCell ref="R1:Z1"/>
    <mergeCell ref="R2:U2"/>
    <mergeCell ref="G9:J9"/>
    <mergeCell ref="R9:U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f33975-7de5-43f4-9324-ea66409ee9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39A6E44CCDD04183681ED3B3C94DEE" ma:contentTypeVersion="13" ma:contentTypeDescription="Create a new document." ma:contentTypeScope="" ma:versionID="d0a475be789a413609aec5bf4e915894">
  <xsd:schema xmlns:xsd="http://www.w3.org/2001/XMLSchema" xmlns:xs="http://www.w3.org/2001/XMLSchema" xmlns:p="http://schemas.microsoft.com/office/2006/metadata/properties" xmlns:ns3="6df33975-7de5-43f4-9324-ea66409ee940" xmlns:ns4="1c0c9488-2abe-4af7-afb6-e8dfca954dcb" targetNamespace="http://schemas.microsoft.com/office/2006/metadata/properties" ma:root="true" ma:fieldsID="9a03d8fcaa269aa1e8b88b3fdd73810a" ns3:_="" ns4:_="">
    <xsd:import namespace="6df33975-7de5-43f4-9324-ea66409ee940"/>
    <xsd:import namespace="1c0c9488-2abe-4af7-afb6-e8dfca954d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33975-7de5-43f4-9324-ea66409e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c9488-2abe-4af7-afb6-e8dfca954dc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BD0F49-E67F-42EF-A230-A119EA67666A}">
  <ds:schemaRefs>
    <ds:schemaRef ds:uri="1c0c9488-2abe-4af7-afb6-e8dfca954dcb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df33975-7de5-43f4-9324-ea66409ee94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A5E6803-AA9F-47B7-A585-77D64CC85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56843F-6270-475F-BB39-1326B48F6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f33975-7de5-43f4-9324-ea66409ee940"/>
    <ds:schemaRef ds:uri="1c0c9488-2abe-4af7-afb6-e8dfca954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Tushar Pandya</dc:creator>
  <cp:lastModifiedBy>Kevin Tushar Pandya</cp:lastModifiedBy>
  <dcterms:created xsi:type="dcterms:W3CDTF">2024-03-20T20:59:01Z</dcterms:created>
  <dcterms:modified xsi:type="dcterms:W3CDTF">2024-03-24T02:17:58Z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0x0101001B39A6E44CCDD04183681ED3B3C94DEE</vt:lpwstr>
  </property>
</Properties>
</file>