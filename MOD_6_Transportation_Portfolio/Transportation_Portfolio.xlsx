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fdfecf6042e6c4/Desktop/"/>
    </mc:Choice>
  </mc:AlternateContent>
  <xr:revisionPtr revIDLastSave="4690" documentId="8_{B0698A89-2A5B-4370-8593-46FF6760E493}" xr6:coauthVersionLast="47" xr6:coauthVersionMax="47" xr10:uidLastSave="{9AAA58A9-DFF4-46BD-A6B8-D9D826AAEF66}"/>
  <bookViews>
    <workbookView xWindow="-108" yWindow="-108" windowWidth="23256" windowHeight="12456" activeTab="2" xr2:uid="{7AEC5213-303D-0540-92AB-43C9CF7CF98F}"/>
  </bookViews>
  <sheets>
    <sheet name="Sensitivity Report 1" sheetId="5" r:id="rId1"/>
    <sheet name="Part 1" sheetId="1" r:id="rId2"/>
    <sheet name="Part 2" sheetId="2" r:id="rId3"/>
  </sheets>
  <definedNames>
    <definedName name="solver_adj" localSheetId="1" hidden="1">'Part 1'!$O$32:$W$40</definedName>
    <definedName name="solver_adj" localSheetId="2" hidden="1">'Part 2'!$R$6:$R$11</definedName>
    <definedName name="solver_cvg" localSheetId="1" hidden="1">0.0001</definedName>
    <definedName name="solver_cvg" localSheetId="2" hidden="1">0.0001</definedName>
    <definedName name="solver_drv" localSheetId="1" hidden="1">2</definedName>
    <definedName name="solver_drv" localSheetId="2" hidden="1">2</definedName>
    <definedName name="solver_eng" localSheetId="1" hidden="1">2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'Part 1'!$U$41:$W$41</definedName>
    <definedName name="solver_lhs1" localSheetId="2" hidden="1">'Part 2'!$R$12</definedName>
    <definedName name="solver_lhs2" localSheetId="1" hidden="1">'Part 1'!$X$32:$X$37</definedName>
    <definedName name="solver_lhs2" localSheetId="2" hidden="1">'Part 2'!$R$14</definedName>
    <definedName name="solver_lhs3" localSheetId="1" hidden="1">'Part 1'!$X$38:$X$40</definedName>
    <definedName name="solver_lhs4" localSheetId="1" hidden="1">'Part 1'!$X$38:$X$40</definedName>
    <definedName name="solver_lhs5" localSheetId="1" hidden="1">'Part 1'!$X$32:$X$37</definedName>
    <definedName name="solver_lhs6" localSheetId="1" hidden="1">'Part 1'!$X$38:$X$40</definedName>
    <definedName name="solver_lin" localSheetId="1" hidden="1">2</definedName>
    <definedName name="solver_lin" localSheetId="2" hidden="1">2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2</definedName>
    <definedName name="solver_num" localSheetId="2" hidden="1">2</definedName>
    <definedName name="solver_nwt" localSheetId="1" hidden="1">1</definedName>
    <definedName name="solver_nwt" localSheetId="2" hidden="1">1</definedName>
    <definedName name="solver_opt" localSheetId="1" hidden="1">'Part 1'!$P$49</definedName>
    <definedName name="solver_opt" localSheetId="2" hidden="1">'Part 2'!$R$15</definedName>
    <definedName name="solver_pre" localSheetId="1" hidden="1">0.000001</definedName>
    <definedName name="solver_pre" localSheetId="2" hidden="1">0.000001</definedName>
    <definedName name="solver_rbv" localSheetId="1" hidden="1">2</definedName>
    <definedName name="solver_rbv" localSheetId="2" hidden="1">2</definedName>
    <definedName name="solver_rel1" localSheetId="1" hidden="1">2</definedName>
    <definedName name="solver_rel1" localSheetId="2" hidden="1">2</definedName>
    <definedName name="solver_rel2" localSheetId="1" hidden="1">2</definedName>
    <definedName name="solver_rel2" localSheetId="2" hidden="1">3</definedName>
    <definedName name="solver_rel3" localSheetId="1" hidden="1">1</definedName>
    <definedName name="solver_rel4" localSheetId="1" hidden="1">1</definedName>
    <definedName name="solver_rel5" localSheetId="1" hidden="1">2</definedName>
    <definedName name="solver_rel6" localSheetId="1" hidden="1">1</definedName>
    <definedName name="solver_rhs1" localSheetId="1" hidden="1">'Part 1'!$U$43:$W$43</definedName>
    <definedName name="solver_rhs1" localSheetId="2" hidden="1">1</definedName>
    <definedName name="solver_rhs2" localSheetId="1" hidden="1">'Part 1'!$Z$32:$Z$37</definedName>
    <definedName name="solver_rhs2" localSheetId="2" hidden="1">'Part 2'!$R$5</definedName>
    <definedName name="solver_rhs3" localSheetId="1" hidden="1">'Part 1'!$O$42:$Q$42</definedName>
    <definedName name="solver_rhs4" localSheetId="1" hidden="1">'Part 1'!$O$42:$Q$42</definedName>
    <definedName name="solver_rhs5" localSheetId="1" hidden="1">'Part 1'!$Z$32:$Z$37</definedName>
    <definedName name="solver_rhs6" localSheetId="1" hidden="1">'Part 1'!$Z$38:$Z$40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2</definedName>
    <definedName name="solver_scl" localSheetId="2" hidden="1">2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2" l="1" a="1"/>
  <c r="K14" i="2" s="1"/>
  <c r="L14" i="2" a="1"/>
  <c r="L14" i="2" s="1"/>
  <c r="M14" i="2" a="1"/>
  <c r="M14" i="2" s="1"/>
  <c r="N14" i="2" a="1"/>
  <c r="N14" i="2" s="1"/>
  <c r="O14" i="2" a="1"/>
  <c r="O14" i="2" s="1"/>
  <c r="P14" i="2" a="1"/>
  <c r="P14" i="2" s="1"/>
  <c r="Q14" i="2" a="1"/>
  <c r="Q14" i="2" s="1"/>
  <c r="R14" i="2" a="1"/>
  <c r="R14" i="2" s="1"/>
  <c r="F15" i="2" a="1"/>
  <c r="F15" i="2" s="1"/>
  <c r="L12" i="2"/>
  <c r="M12" i="2"/>
  <c r="N12" i="2"/>
  <c r="O12" i="2"/>
  <c r="P12" i="2"/>
  <c r="Q12" i="2"/>
  <c r="R12" i="2"/>
  <c r="K12" i="2"/>
  <c r="F12" i="2"/>
  <c r="F14" i="2" a="1"/>
  <c r="F14" i="2" s="1"/>
  <c r="G7" i="2" l="1"/>
  <c r="G8" i="2"/>
  <c r="G9" i="2"/>
  <c r="G10" i="2"/>
  <c r="G11" i="2"/>
  <c r="G6" i="2"/>
  <c r="P49" i="1"/>
  <c r="W41" i="1"/>
  <c r="V41" i="1"/>
  <c r="U41" i="1"/>
  <c r="T42" i="1"/>
  <c r="S42" i="1"/>
  <c r="Q42" i="1"/>
  <c r="O42" i="1"/>
  <c r="P42" i="1"/>
  <c r="R42" i="1"/>
  <c r="X38" i="1" l="1"/>
  <c r="X39" i="1"/>
  <c r="X40" i="1"/>
  <c r="X33" i="1"/>
  <c r="X34" i="1"/>
  <c r="X35" i="1"/>
  <c r="X36" i="1"/>
  <c r="X37" i="1"/>
  <c r="X32" i="1"/>
  <c r="O21" i="1"/>
  <c r="T15" i="1"/>
  <c r="P16" i="1"/>
  <c r="Q16" i="1"/>
  <c r="O16" i="1"/>
  <c r="R10" i="1"/>
  <c r="R11" i="1"/>
  <c r="R12" i="1"/>
  <c r="R13" i="1"/>
  <c r="R14" i="1"/>
  <c r="R9" i="1"/>
  <c r="R1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<sst xmlns="http://schemas.openxmlformats.org/spreadsheetml/2006/main" count="544" uniqueCount="354">
  <si>
    <t>Orangeburg</t>
  </si>
  <si>
    <t>Florence</t>
  </si>
  <si>
    <t>Macon</t>
  </si>
  <si>
    <t>Denver</t>
  </si>
  <si>
    <t>Morrisville</t>
  </si>
  <si>
    <t>Pineville</t>
  </si>
  <si>
    <t>Rockhill</t>
  </si>
  <si>
    <t>Statesville</t>
  </si>
  <si>
    <t>Expected Returns</t>
  </si>
  <si>
    <t>Bonds</t>
  </si>
  <si>
    <t>High tech stocks</t>
  </si>
  <si>
    <t>Foreign stocks</t>
  </si>
  <si>
    <t>Call options</t>
  </si>
  <si>
    <t>Put options</t>
  </si>
  <si>
    <t>Gold</t>
  </si>
  <si>
    <t>Model</t>
  </si>
  <si>
    <r>
      <t>X</t>
    </r>
    <r>
      <rPr>
        <b/>
        <vertAlign val="subscript"/>
        <sz val="12"/>
        <color theme="1"/>
        <rFont val="Calibri"/>
        <family val="2"/>
        <scheme val="minor"/>
      </rPr>
      <t>DF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</si>
  <si>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PF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</si>
  <si>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RF</t>
    </r>
  </si>
  <si>
    <t>Shipped From</t>
  </si>
  <si>
    <t>&lt;=</t>
  </si>
  <si>
    <t>Morangton</t>
  </si>
  <si>
    <r>
      <rPr>
        <b/>
        <sz val="18"/>
        <color theme="1"/>
        <rFont val="Calibri"/>
        <family val="2"/>
        <scheme val="minor"/>
      </rPr>
      <t>Z = Σ C</t>
    </r>
    <r>
      <rPr>
        <b/>
        <vertAlign val="subscript"/>
        <sz val="18"/>
        <color theme="1"/>
        <rFont val="Calibri"/>
        <family val="2"/>
        <scheme val="minor"/>
      </rPr>
      <t xml:space="preserve">ij </t>
    </r>
    <r>
      <rPr>
        <b/>
        <sz val="18"/>
        <color theme="1"/>
        <rFont val="Calibri"/>
        <family val="2"/>
        <scheme val="minor"/>
      </rPr>
      <t>* X</t>
    </r>
    <r>
      <rPr>
        <b/>
        <vertAlign val="subscript"/>
        <sz val="18"/>
        <color theme="1"/>
        <rFont val="Calibri"/>
        <family val="2"/>
        <scheme val="minor"/>
      </rPr>
      <t xml:space="preserve">ij </t>
    </r>
    <r>
      <rPr>
        <b/>
        <sz val="18"/>
        <color theme="1"/>
        <rFont val="Calibri"/>
        <family val="2"/>
        <scheme val="minor"/>
      </rPr>
      <t>where i = Plant, j = Waste Disposal Site</t>
    </r>
    <r>
      <rPr>
        <b/>
        <sz val="12"/>
        <color theme="1"/>
        <rFont val="Calibri"/>
        <family val="2"/>
        <scheme val="minor"/>
      </rPr>
      <t xml:space="preserve"> 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</si>
  <si>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DO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</si>
  <si>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DM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</si>
  <si>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</si>
  <si>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MF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</si>
  <si>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MM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</si>
  <si>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MRO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</si>
  <si>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MRF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</si>
  <si>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MRM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</si>
  <si>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PO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</si>
  <si>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PM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</si>
  <si>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RO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</si>
  <si>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RM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</si>
  <si>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SO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</si>
  <si>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SF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</si>
  <si>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SM</t>
    </r>
  </si>
  <si>
    <t>Constraints</t>
  </si>
  <si>
    <t>Plants</t>
  </si>
  <si>
    <t>Dispoal Site</t>
  </si>
  <si>
    <t>=</t>
  </si>
  <si>
    <t>Non Negativity</t>
  </si>
  <si>
    <t>&gt;=</t>
  </si>
  <si>
    <t>Shipped to</t>
  </si>
  <si>
    <t>Cost Matrix</t>
  </si>
  <si>
    <t>Cost when Method is Direct Shipping</t>
  </si>
  <si>
    <t>Total Waste Generation</t>
  </si>
  <si>
    <t>Limit</t>
  </si>
  <si>
    <t>Equality</t>
  </si>
  <si>
    <t>Inequality</t>
  </si>
  <si>
    <t>Minimum Cost of Shipping when Method is Indirect Transportation</t>
  </si>
  <si>
    <t>Minimum Cost of Shipping when Method is Direct Transportation</t>
  </si>
  <si>
    <t>Cost</t>
  </si>
  <si>
    <r>
      <t>X</t>
    </r>
    <r>
      <rPr>
        <b/>
        <vertAlign val="subscript"/>
        <sz val="12"/>
        <color theme="1"/>
        <rFont val="Calibri"/>
        <family val="2"/>
        <scheme val="minor"/>
      </rPr>
      <t>DMA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</si>
  <si>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DD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</si>
  <si>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DMO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</si>
  <si>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DP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</si>
  <si>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DR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</si>
  <si>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DS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</si>
  <si>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MMA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</si>
  <si>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MD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</si>
  <si>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MMO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</si>
  <si>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MP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</si>
  <si>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MR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</si>
  <si>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MS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</si>
  <si>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MOO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</si>
  <si>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MOF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</si>
  <si>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MOMA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</si>
  <si>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MOD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</si>
  <si>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MOM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</si>
  <si>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MOMO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</si>
  <si>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MOP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</si>
  <si>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MOR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</si>
  <si>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MOS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</si>
  <si>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PS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</si>
  <si>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PR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</si>
  <si>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PP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</si>
  <si>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PMO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</si>
  <si>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PD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</si>
  <si>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PMA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</si>
  <si>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RMA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</si>
  <si>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RD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</si>
  <si>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RMO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</si>
  <si>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RP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</si>
  <si>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RR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</si>
  <si>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RS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</si>
  <si>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SS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</si>
  <si>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SR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</si>
  <si>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SP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</si>
  <si>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SMO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</si>
  <si>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SD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</si>
  <si>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SMA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</si>
  <si>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OO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</si>
  <si>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OF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</si>
  <si>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OMA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</si>
  <si>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OD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</si>
  <si>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OM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</si>
  <si>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OMO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</si>
  <si>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OP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</si>
  <si>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OR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</si>
  <si>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OS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</si>
  <si>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FO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</si>
  <si>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MAO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</si>
  <si>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FF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</si>
  <si>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MAF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</si>
  <si>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FMA</t>
    </r>
  </si>
  <si>
    <r>
      <t>X</t>
    </r>
    <r>
      <rPr>
        <vertAlign val="subscript"/>
        <sz val="12"/>
        <color theme="1"/>
        <rFont val="Calibri"/>
        <family val="2"/>
        <scheme val="minor"/>
      </rPr>
      <t>MAMA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</si>
  <si>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MAD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</si>
  <si>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MAM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</si>
  <si>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FD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</si>
  <si>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FM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</si>
  <si>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FMO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</si>
  <si>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FP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</si>
  <si>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MAMO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</si>
  <si>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MAP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</si>
  <si>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FR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</si>
  <si>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FS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</si>
  <si>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MAS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</si>
  <si>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MAR</t>
    </r>
  </si>
  <si>
    <r>
      <t>X</t>
    </r>
    <r>
      <rPr>
        <vertAlign val="subscript"/>
        <sz val="12"/>
        <color theme="1"/>
        <rFont val="Calibri"/>
        <family val="2"/>
        <scheme val="minor"/>
      </rPr>
      <t>DO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DF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DMA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DM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DMO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DP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DR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DS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</si>
  <si>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MO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MF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MMA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MD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MMO</t>
    </r>
    <r>
      <rPr>
        <b/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MP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MR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MS</t>
    </r>
  </si>
  <si>
    <r>
      <t>X</t>
    </r>
    <r>
      <rPr>
        <vertAlign val="subscript"/>
        <sz val="12"/>
        <color theme="1"/>
        <rFont val="Calibri"/>
        <family val="2"/>
        <scheme val="minor"/>
      </rPr>
      <t>MOO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MOF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MOMA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MOD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MOM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MOP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MOR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MOS</t>
    </r>
    <r>
      <rPr>
        <sz val="12"/>
        <color theme="1"/>
        <rFont val="Calibri"/>
        <family val="2"/>
        <scheme val="minor"/>
      </rPr>
      <t xml:space="preserve">  </t>
    </r>
  </si>
  <si>
    <r>
      <t>X</t>
    </r>
    <r>
      <rPr>
        <vertAlign val="subscript"/>
        <sz val="12"/>
        <color theme="1"/>
        <rFont val="Calibri"/>
        <family val="2"/>
        <scheme val="minor"/>
      </rPr>
      <t>PO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PF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PMA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PD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PM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PMO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PP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PR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PS</t>
    </r>
  </si>
  <si>
    <r>
      <t>X</t>
    </r>
    <r>
      <rPr>
        <vertAlign val="subscript"/>
        <sz val="12"/>
        <color theme="1"/>
        <rFont val="Calibri"/>
        <family val="2"/>
        <scheme val="minor"/>
      </rPr>
      <t>RO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RF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RMA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RD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RM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RMO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RP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RS</t>
    </r>
  </si>
  <si>
    <r>
      <t>X</t>
    </r>
    <r>
      <rPr>
        <vertAlign val="subscript"/>
        <sz val="12"/>
        <color theme="1"/>
        <rFont val="Calibri"/>
        <family val="2"/>
        <scheme val="minor"/>
      </rPr>
      <t>SO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SF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SMA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SD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SM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SMO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SP</t>
    </r>
    <r>
      <rPr>
        <sz val="12"/>
        <color theme="1"/>
        <rFont val="Calibri"/>
        <family val="2"/>
        <scheme val="minor"/>
      </rPr>
      <t xml:space="preserve"> + X</t>
    </r>
    <r>
      <rPr>
        <vertAlign val="subscript"/>
        <sz val="12"/>
        <color theme="1"/>
        <rFont val="Calibri"/>
        <family val="2"/>
        <scheme val="minor"/>
      </rPr>
      <t>SR</t>
    </r>
  </si>
  <si>
    <r>
      <t>X</t>
    </r>
    <r>
      <rPr>
        <vertAlign val="subscript"/>
        <sz val="12"/>
        <color theme="1"/>
        <rFont val="Calibri"/>
        <family val="2"/>
        <scheme val="minor"/>
      </rPr>
      <t>OF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OMA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OD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OM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OMO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OP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OS</t>
    </r>
  </si>
  <si>
    <r>
      <t>X</t>
    </r>
    <r>
      <rPr>
        <vertAlign val="subscript"/>
        <sz val="12"/>
        <color theme="1"/>
        <rFont val="Calibri"/>
        <family val="2"/>
        <scheme val="minor"/>
      </rPr>
      <t>FO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FF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FMA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FD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FM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FMO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FP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FR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FS</t>
    </r>
  </si>
  <si>
    <r>
      <t>X</t>
    </r>
    <r>
      <rPr>
        <vertAlign val="subscript"/>
        <sz val="12"/>
        <color theme="1"/>
        <rFont val="Calibri"/>
        <family val="2"/>
        <scheme val="minor"/>
      </rPr>
      <t>MAO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MAF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MAD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MAM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MAMO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MAP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MAR</t>
    </r>
    <r>
      <rPr>
        <sz val="12"/>
        <color theme="1"/>
        <rFont val="Calibri"/>
        <family val="2"/>
        <scheme val="minor"/>
      </rPr>
      <t>+X</t>
    </r>
    <r>
      <rPr>
        <vertAlign val="subscript"/>
        <sz val="12"/>
        <color theme="1"/>
        <rFont val="Calibri"/>
        <family val="2"/>
        <scheme val="minor"/>
      </rPr>
      <t>MAS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</si>
  <si>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DO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DF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DM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</si>
  <si>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MO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MF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MM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</si>
  <si>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MRO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MRF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MRM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</si>
  <si>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PO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PF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PM</t>
    </r>
  </si>
  <si>
    <r>
      <t>X</t>
    </r>
    <r>
      <rPr>
        <vertAlign val="subscript"/>
        <sz val="12"/>
        <color theme="1"/>
        <rFont val="Calibri"/>
        <family val="2"/>
        <scheme val="minor"/>
      </rPr>
      <t>RO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RF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RM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</si>
  <si>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SO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SF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SM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</si>
  <si>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DO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MO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MRO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PO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RO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SO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</si>
  <si>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DF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MF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MRF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PF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RF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SF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</si>
  <si>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 xml:space="preserve">DM </t>
    </r>
    <r>
      <rPr>
        <b/>
        <sz val="12"/>
        <color theme="1"/>
        <rFont val="Calibri"/>
        <family val="2"/>
        <scheme val="minor"/>
      </rPr>
      <t>+ X</t>
    </r>
    <r>
      <rPr>
        <b/>
        <vertAlign val="subscript"/>
        <sz val="12"/>
        <color theme="1"/>
        <rFont val="Calibri"/>
        <family val="2"/>
        <scheme val="minor"/>
      </rPr>
      <t>MM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>MRM</t>
    </r>
    <r>
      <rPr>
        <b/>
        <sz val="12"/>
        <color theme="1"/>
        <rFont val="Calibri"/>
        <family val="2"/>
        <scheme val="minor"/>
      </rPr>
      <t xml:space="preserve"> + X</t>
    </r>
    <r>
      <rPr>
        <b/>
        <vertAlign val="subscript"/>
        <sz val="12"/>
        <color theme="1"/>
        <rFont val="Calibri"/>
        <family val="2"/>
        <scheme val="minor"/>
      </rPr>
      <t xml:space="preserve">PM </t>
    </r>
    <r>
      <rPr>
        <b/>
        <sz val="12"/>
        <color theme="1"/>
        <rFont val="Calibri"/>
        <family val="2"/>
        <scheme val="minor"/>
      </rPr>
      <t>+ X</t>
    </r>
    <r>
      <rPr>
        <b/>
        <vertAlign val="subscript"/>
        <sz val="12"/>
        <color theme="1"/>
        <rFont val="Calibri"/>
        <family val="2"/>
        <scheme val="minor"/>
      </rPr>
      <t xml:space="preserve">RM </t>
    </r>
    <r>
      <rPr>
        <b/>
        <sz val="12"/>
        <color theme="1"/>
        <rFont val="Calibri"/>
        <family val="2"/>
        <scheme val="minor"/>
      </rPr>
      <t>+ X</t>
    </r>
    <r>
      <rPr>
        <b/>
        <vertAlign val="subscript"/>
        <sz val="12"/>
        <color theme="1"/>
        <rFont val="Calibri"/>
        <family val="2"/>
        <scheme val="minor"/>
      </rPr>
      <t>SM</t>
    </r>
  </si>
  <si>
    <r>
      <t>X</t>
    </r>
    <r>
      <rPr>
        <b/>
        <vertAlign val="subscript"/>
        <sz val="12"/>
        <color theme="1"/>
        <rFont val="Calibri"/>
        <family val="2"/>
        <scheme val="minor"/>
      </rPr>
      <t>ij</t>
    </r>
  </si>
  <si>
    <t>Capacity</t>
  </si>
  <si>
    <t>Microsoft Excel 16.0 Sensitivity Report</t>
  </si>
  <si>
    <t>Worksheet: [ALY6050_MOD6_Project_PandyaK.xlsx]Part 1</t>
  </si>
  <si>
    <t>Variable Cells</t>
  </si>
  <si>
    <t>Cell</t>
  </si>
  <si>
    <t>Name</t>
  </si>
  <si>
    <t>Final</t>
  </si>
  <si>
    <t>Value</t>
  </si>
  <si>
    <t>Reduced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</si>
  <si>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</si>
  <si>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</si>
  <si>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</si>
  <si>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</si>
  <si>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</si>
  <si>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</si>
  <si>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</si>
  <si>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</si>
  <si>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</si>
  <si>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$O$32</t>
  </si>
  <si>
    <t>Denver Orangeburg</t>
  </si>
  <si>
    <t>$P$32</t>
  </si>
  <si>
    <t>Denver Florence</t>
  </si>
  <si>
    <t>$Q$32</t>
  </si>
  <si>
    <t>Denver Macon</t>
  </si>
  <si>
    <t>$R$32</t>
  </si>
  <si>
    <t>Denver Denver</t>
  </si>
  <si>
    <t>$S$32</t>
  </si>
  <si>
    <t>$T$32</t>
  </si>
  <si>
    <t>Denver Morrisville</t>
  </si>
  <si>
    <t>$U$32</t>
  </si>
  <si>
    <t>Denver Pineville</t>
  </si>
  <si>
    <t>$V$32</t>
  </si>
  <si>
    <t>Denver Rockhill</t>
  </si>
  <si>
    <t>$W$32</t>
  </si>
  <si>
    <t>Denver Statesville</t>
  </si>
  <si>
    <t>$O$33</t>
  </si>
  <si>
    <t>$P$33</t>
  </si>
  <si>
    <t>$Q$33</t>
  </si>
  <si>
    <t>$R$33</t>
  </si>
  <si>
    <t>$S$33</t>
  </si>
  <si>
    <t>$T$33</t>
  </si>
  <si>
    <t>$U$33</t>
  </si>
  <si>
    <t>$V$33</t>
  </si>
  <si>
    <t>$W$33</t>
  </si>
  <si>
    <t>$O$34</t>
  </si>
  <si>
    <t>Morrisville Orangeburg</t>
  </si>
  <si>
    <t>$P$34</t>
  </si>
  <si>
    <t>Morrisville Florence</t>
  </si>
  <si>
    <t>$Q$34</t>
  </si>
  <si>
    <t>Morrisville Macon</t>
  </si>
  <si>
    <t>$R$34</t>
  </si>
  <si>
    <t>Morrisville Denver</t>
  </si>
  <si>
    <t>$S$34</t>
  </si>
  <si>
    <t>$T$34</t>
  </si>
  <si>
    <t>Morrisville Morrisville</t>
  </si>
  <si>
    <t>$U$34</t>
  </si>
  <si>
    <t>Morrisville Pineville</t>
  </si>
  <si>
    <t>$V$34</t>
  </si>
  <si>
    <t>Morrisville Rockhill</t>
  </si>
  <si>
    <t>$W$34</t>
  </si>
  <si>
    <t>Morrisville Statesville</t>
  </si>
  <si>
    <t>$O$35</t>
  </si>
  <si>
    <t>Pineville Orangeburg</t>
  </si>
  <si>
    <t>$P$35</t>
  </si>
  <si>
    <t>Pineville Florence</t>
  </si>
  <si>
    <t>$Q$35</t>
  </si>
  <si>
    <t>Pineville Macon</t>
  </si>
  <si>
    <t>$R$35</t>
  </si>
  <si>
    <t>Pineville Denver</t>
  </si>
  <si>
    <t>$S$35</t>
  </si>
  <si>
    <t>$T$35</t>
  </si>
  <si>
    <t>Pineville Morrisville</t>
  </si>
  <si>
    <t>$U$35</t>
  </si>
  <si>
    <t>Pineville Pineville</t>
  </si>
  <si>
    <t>$V$35</t>
  </si>
  <si>
    <t>Pineville Rockhill</t>
  </si>
  <si>
    <t>$W$35</t>
  </si>
  <si>
    <t>Pineville Statesville</t>
  </si>
  <si>
    <t>$O$36</t>
  </si>
  <si>
    <t>Rockhill Orangeburg</t>
  </si>
  <si>
    <t>$P$36</t>
  </si>
  <si>
    <t>Rockhill Florence</t>
  </si>
  <si>
    <t>$Q$36</t>
  </si>
  <si>
    <t>Rockhill Macon</t>
  </si>
  <si>
    <t>$R$36</t>
  </si>
  <si>
    <t>Rockhill Denver</t>
  </si>
  <si>
    <t>$S$36</t>
  </si>
  <si>
    <t>$T$36</t>
  </si>
  <si>
    <t>Rockhill Morrisville</t>
  </si>
  <si>
    <t>$U$36</t>
  </si>
  <si>
    <t>Rockhill Pineville</t>
  </si>
  <si>
    <t>$V$36</t>
  </si>
  <si>
    <t>Rockhill Rockhill</t>
  </si>
  <si>
    <t>$W$36</t>
  </si>
  <si>
    <t>Rockhill Statesville</t>
  </si>
  <si>
    <t>$O$37</t>
  </si>
  <si>
    <t>Statesville Orangeburg</t>
  </si>
  <si>
    <t>$P$37</t>
  </si>
  <si>
    <t>Statesville Florence</t>
  </si>
  <si>
    <t>$Q$37</t>
  </si>
  <si>
    <t>Statesville Macon</t>
  </si>
  <si>
    <t>$R$37</t>
  </si>
  <si>
    <t>Statesville Denver</t>
  </si>
  <si>
    <t>$S$37</t>
  </si>
  <si>
    <t>$T$37</t>
  </si>
  <si>
    <t>Statesville Morrisville</t>
  </si>
  <si>
    <t>$U$37</t>
  </si>
  <si>
    <t>Statesville Pineville</t>
  </si>
  <si>
    <t>$V$37</t>
  </si>
  <si>
    <t>Statesville Rockhill</t>
  </si>
  <si>
    <t>$W$37</t>
  </si>
  <si>
    <t>Statesville Statesville</t>
  </si>
  <si>
    <t>$O$38</t>
  </si>
  <si>
    <t>Orangeburg Orangeburg</t>
  </si>
  <si>
    <t>$P$38</t>
  </si>
  <si>
    <t>Orangeburg Florence</t>
  </si>
  <si>
    <t>$Q$38</t>
  </si>
  <si>
    <t>Orangeburg Macon</t>
  </si>
  <si>
    <t>$R$38</t>
  </si>
  <si>
    <t>Orangeburg Denver</t>
  </si>
  <si>
    <t>$S$38</t>
  </si>
  <si>
    <t>$T$38</t>
  </si>
  <si>
    <t>Orangeburg Morrisville</t>
  </si>
  <si>
    <t>$U$38</t>
  </si>
  <si>
    <t>Orangeburg Pineville</t>
  </si>
  <si>
    <t>$V$38</t>
  </si>
  <si>
    <t>Orangeburg Rockhill</t>
  </si>
  <si>
    <t>$W$38</t>
  </si>
  <si>
    <t>Orangeburg Statesville</t>
  </si>
  <si>
    <t>$O$39</t>
  </si>
  <si>
    <t>Florence Orangeburg</t>
  </si>
  <si>
    <t>$P$39</t>
  </si>
  <si>
    <t>Florence Florence</t>
  </si>
  <si>
    <t>$Q$39</t>
  </si>
  <si>
    <t>Florence Macon</t>
  </si>
  <si>
    <t>$R$39</t>
  </si>
  <si>
    <t>Florence Denver</t>
  </si>
  <si>
    <t>$S$39</t>
  </si>
  <si>
    <t>$T$39</t>
  </si>
  <si>
    <t>Florence Morrisville</t>
  </si>
  <si>
    <t>$U$39</t>
  </si>
  <si>
    <t>Florence Pineville</t>
  </si>
  <si>
    <t>$V$39</t>
  </si>
  <si>
    <t>Florence Rockhill</t>
  </si>
  <si>
    <t>$W$39</t>
  </si>
  <si>
    <t>Florence Statesville</t>
  </si>
  <si>
    <t>$O$40</t>
  </si>
  <si>
    <t>Macon Orangeburg</t>
  </si>
  <si>
    <t>$P$40</t>
  </si>
  <si>
    <t>Macon Florence</t>
  </si>
  <si>
    <t>$Q$40</t>
  </si>
  <si>
    <t>Macon Macon</t>
  </si>
  <si>
    <t>$R$40</t>
  </si>
  <si>
    <t>Macon Denver</t>
  </si>
  <si>
    <t>$S$40</t>
  </si>
  <si>
    <t>$T$40</t>
  </si>
  <si>
    <t>Macon Morrisville</t>
  </si>
  <si>
    <t>$U$40</t>
  </si>
  <si>
    <t>Macon Pineville</t>
  </si>
  <si>
    <t>$V$40</t>
  </si>
  <si>
    <t>Macon Rockhill</t>
  </si>
  <si>
    <t>$W$40</t>
  </si>
  <si>
    <t>Macon Statesville</t>
  </si>
  <si>
    <t>$X$32</t>
  </si>
  <si>
    <t>Denver Capacity</t>
  </si>
  <si>
    <t>$X$33</t>
  </si>
  <si>
    <t>$X$34</t>
  </si>
  <si>
    <t>Morrisville Capacity</t>
  </si>
  <si>
    <t>$X$35</t>
  </si>
  <si>
    <t>Pineville Capacity</t>
  </si>
  <si>
    <t>$X$36</t>
  </si>
  <si>
    <t>Rockhill Capacity</t>
  </si>
  <si>
    <t>$X$37</t>
  </si>
  <si>
    <t>Statesville Capacity</t>
  </si>
  <si>
    <t>Expected Return</t>
  </si>
  <si>
    <t>Costs</t>
  </si>
  <si>
    <t>Plant</t>
  </si>
  <si>
    <t>Plant:</t>
  </si>
  <si>
    <t>Morganton</t>
  </si>
  <si>
    <t>Maximum Capacity</t>
  </si>
  <si>
    <t>Receiving Waste</t>
  </si>
  <si>
    <t>Cost when Method is indirect Shipping</t>
  </si>
  <si>
    <t>Indirect Shipping</t>
  </si>
  <si>
    <t>Report Created: 30-03-2024 21:35:13</t>
  </si>
  <si>
    <t>Denver Morganton</t>
  </si>
  <si>
    <t>Morganton Denver</t>
  </si>
  <si>
    <t>Morganton Morganton</t>
  </si>
  <si>
    <t>Morganton Morrisville</t>
  </si>
  <si>
    <t>Morganton Pineville</t>
  </si>
  <si>
    <t>Morganton Rockhill</t>
  </si>
  <si>
    <t>Morganton Statesville</t>
  </si>
  <si>
    <t>Morganton Orangeburg</t>
  </si>
  <si>
    <t>Morganton Florence</t>
  </si>
  <si>
    <t>Morganton Macon</t>
  </si>
  <si>
    <t>Morrisville Morganton</t>
  </si>
  <si>
    <t>Pineville Morganton</t>
  </si>
  <si>
    <t>Rockhill Morganton</t>
  </si>
  <si>
    <t>Statesville Morganton</t>
  </si>
  <si>
    <t>Orangeburg Morganton</t>
  </si>
  <si>
    <t>Florence Morganton</t>
  </si>
  <si>
    <t>Macon Morganton</t>
  </si>
  <si>
    <t>$U$41</t>
  </si>
  <si>
    <t>Maximum Capacity Orangeburg</t>
  </si>
  <si>
    <t>$V$41</t>
  </si>
  <si>
    <t>Maximum Capacity Florence</t>
  </si>
  <si>
    <t>$W$41</t>
  </si>
  <si>
    <t>Maximum Capacity Macon</t>
  </si>
  <si>
    <t>Morganton Capacity</t>
  </si>
  <si>
    <t xml:space="preserve">Items </t>
  </si>
  <si>
    <t>Weight</t>
  </si>
  <si>
    <t>Allocation</t>
  </si>
  <si>
    <t>Total</t>
  </si>
  <si>
    <t>Expected Portfolio Return (e)</t>
  </si>
  <si>
    <t>Expected Portfolio Risk (r)</t>
  </si>
  <si>
    <t>Expected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</si>
</sst>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1009]#,##0.00"/>
    <numFmt numFmtId="165" formatCode="_-&quot;$&quot;* #,##0.00_-;\-&quot;$&quot;* #,##0.00_-;_-&quot;$&quot;* &quot;-&quot;??_-;_-@_-"/>
    <numFmt numFmtId="166" formatCode="&quot;$&quot;#,##0.00"/>
    <numFmt numFmtId="167" formatCode="0.0000000"/>
  </numFmts>
  <fonts count="19" x14ac:knownFonts="1">
    <font>
      <sz val="12"/>
      <color theme="1"/>
      <name val="Calibri"/>
      <family val="2"/>
      <scheme val="minor"/>
    </font>
    <font>
      <sz val="11"/>
      <color theme="1"/>
      <name val="Gill Sans MT"/>
      <family val="2"/>
    </font>
    <font>
      <sz val="12"/>
      <color theme="1"/>
      <name val="Palatino Linotype"/>
      <family val="1"/>
    </font>
    <font>
      <b/>
      <sz val="12"/>
      <color rgb="FF000000"/>
      <name val="Calibri"/>
      <family val="2"/>
    </font>
    <font>
      <sz val="10"/>
      <color theme="1"/>
      <name val="Palatino Linotype"/>
      <family val="1"/>
    </font>
    <font>
      <b/>
      <sz val="12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vertAlign val="subscript"/>
      <sz val="18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b/>
      <sz val="12"/>
      <color indexed="1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Palatino Linotype"/>
      <family val="1"/>
    </font>
    <font>
      <b/>
      <u/>
      <sz val="12"/>
      <color theme="1"/>
      <name val="Palatino Linotype"/>
      <family val="1"/>
    </font>
    <font>
      <b/>
      <sz val="12"/>
      <color theme="0"/>
      <name val="Calibri"/>
      <family val="2"/>
      <scheme val="minor"/>
    </font>
    <font>
      <b/>
      <sz val="11"/>
      <color theme="1"/>
      <name val="Gill Sans MT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thick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ck">
        <color theme="0" tint="-0.24994659260841701"/>
      </top>
      <bottom style="thick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thick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ck">
        <color theme="0" tint="-0.24994659260841701"/>
      </left>
      <right style="medium">
        <color theme="0" tint="-0.24994659260841701"/>
      </right>
      <top style="thick">
        <color theme="0" tint="-0.24994659260841701"/>
      </top>
      <bottom style="thick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 style="medium">
        <color theme="0" tint="-0.24994659260841701"/>
      </top>
      <bottom/>
      <diagonal/>
    </border>
    <border>
      <left style="thick">
        <color theme="0" tint="-0.24994659260841701"/>
      </left>
      <right style="thick">
        <color theme="0" tint="-0.24994659260841701"/>
      </right>
      <top/>
      <bottom style="medium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</cellStyleXfs>
  <cellXfs count="133">
    <xf numFmtId="0" fontId="0" fillId="0" borderId="0" xfId="0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9" fontId="3" fillId="0" borderId="5" xfId="0" applyNumberFormat="1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/>
    </xf>
    <xf numFmtId="0" fontId="0" fillId="10" borderId="7" xfId="0" applyFill="1" applyBorder="1" applyAlignment="1">
      <alignment horizontal="center" vertical="center"/>
    </xf>
    <xf numFmtId="0" fontId="15" fillId="10" borderId="7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4" xfId="0" applyBorder="1"/>
    <xf numFmtId="0" fontId="11" fillId="0" borderId="22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0" fontId="0" fillId="0" borderId="0" xfId="1" applyNumberFormat="1" applyFont="1" applyFill="1" applyBorder="1" applyAlignment="1">
      <alignment horizontal="center" vertical="center"/>
    </xf>
    <xf numFmtId="166" fontId="0" fillId="0" borderId="0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9" fontId="0" fillId="0" borderId="0" xfId="0" applyNumberFormat="1"/>
    <xf numFmtId="0" fontId="5" fillId="0" borderId="26" xfId="0" applyFont="1" applyBorder="1" applyAlignment="1">
      <alignment horizontal="center" vertical="center"/>
    </xf>
    <xf numFmtId="0" fontId="5" fillId="10" borderId="26" xfId="0" applyFont="1" applyFill="1" applyBorder="1" applyAlignment="1">
      <alignment horizontal="left" vertical="center"/>
    </xf>
    <xf numFmtId="2" fontId="0" fillId="10" borderId="26" xfId="0" applyNumberForma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left" vertical="center"/>
    </xf>
    <xf numFmtId="0" fontId="0" fillId="5" borderId="26" xfId="0" applyFill="1" applyBorder="1" applyAlignment="1">
      <alignment horizontal="center" vertical="center"/>
    </xf>
    <xf numFmtId="0" fontId="5" fillId="0" borderId="26" xfId="0" applyFont="1" applyBorder="1" applyAlignment="1">
      <alignment horizontal="center"/>
    </xf>
    <xf numFmtId="9" fontId="0" fillId="5" borderId="26" xfId="1" applyFont="1" applyFill="1" applyBorder="1" applyAlignment="1">
      <alignment horizontal="center" vertical="center"/>
    </xf>
    <xf numFmtId="10" fontId="0" fillId="10" borderId="26" xfId="1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0" fontId="5" fillId="6" borderId="26" xfId="0" applyFont="1" applyFill="1" applyBorder="1" applyAlignment="1">
      <alignment horizontal="left" vertical="center"/>
    </xf>
    <xf numFmtId="0" fontId="5" fillId="11" borderId="26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29" xfId="0" applyBorder="1"/>
    <xf numFmtId="0" fontId="5" fillId="6" borderId="3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0" fontId="3" fillId="0" borderId="0" xfId="1" applyNumberFormat="1" applyFont="1" applyBorder="1" applyAlignment="1">
      <alignment horizontal="center" vertical="center" wrapText="1"/>
    </xf>
    <xf numFmtId="10" fontId="3" fillId="0" borderId="0" xfId="1" applyNumberFormat="1" applyFont="1" applyFill="1" applyBorder="1" applyAlignment="1">
      <alignment horizontal="center" vertical="center"/>
    </xf>
    <xf numFmtId="10" fontId="3" fillId="0" borderId="0" xfId="1" applyNumberFormat="1" applyFont="1" applyBorder="1" applyAlignment="1">
      <alignment horizontal="center" vertical="center"/>
    </xf>
    <xf numFmtId="10" fontId="5" fillId="0" borderId="0" xfId="1" applyNumberFormat="1" applyFont="1" applyAlignment="1">
      <alignment horizontal="center"/>
    </xf>
    <xf numFmtId="10" fontId="18" fillId="0" borderId="0" xfId="1" applyNumberFormat="1" applyFont="1" applyFill="1" applyBorder="1" applyAlignment="1">
      <alignment horizontal="center" vertical="center"/>
    </xf>
    <xf numFmtId="10" fontId="5" fillId="12" borderId="31" xfId="0" applyNumberFormat="1" applyFont="1" applyFill="1" applyBorder="1" applyAlignment="1">
      <alignment horizontal="center"/>
    </xf>
    <xf numFmtId="10" fontId="5" fillId="0" borderId="28" xfId="0" applyNumberFormat="1" applyFont="1" applyBorder="1" applyAlignment="1">
      <alignment horizontal="center"/>
    </xf>
    <xf numFmtId="10" fontId="5" fillId="0" borderId="27" xfId="0" applyNumberFormat="1" applyFont="1" applyBorder="1" applyAlignment="1">
      <alignment horizontal="center"/>
    </xf>
    <xf numFmtId="164" fontId="5" fillId="2" borderId="7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/>
    </xf>
    <xf numFmtId="0" fontId="15" fillId="10" borderId="0" xfId="0" applyFont="1" applyFill="1" applyAlignment="1">
      <alignment horizontal="center" vertical="center" wrapText="1"/>
    </xf>
    <xf numFmtId="0" fontId="15" fillId="10" borderId="14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2" borderId="7" xfId="0" applyFont="1" applyFill="1" applyBorder="1" applyAlignment="1">
      <alignment horizontal="center" vertical="center" wrapText="1" shrinkToFit="1"/>
    </xf>
    <xf numFmtId="0" fontId="5" fillId="4" borderId="7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7" fontId="5" fillId="7" borderId="7" xfId="1" applyNumberFormat="1" applyFont="1" applyFill="1" applyBorder="1" applyAlignment="1">
      <alignment horizontal="center"/>
    </xf>
    <xf numFmtId="10" fontId="5" fillId="7" borderId="7" xfId="0" applyNumberFormat="1" applyFont="1" applyFill="1" applyBorder="1" applyAlignment="1">
      <alignment horizontal="center"/>
    </xf>
  </cellXfs>
  <cellStyles count="3">
    <cellStyle name="Currency 2" xfId="2" xr:uid="{34A329EA-D932-46CF-B2B0-C292B946A79E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2A60-5005-42BC-ACA7-FAC49E26D6CF}">
  <dimension ref="A1:H102"/>
  <sheetViews>
    <sheetView showGridLines="0" workbookViewId="0"/>
  </sheetViews>
  <sheetFormatPr defaultRowHeight="15.6" x14ac:dyDescent="0.3"/>
  <cols>
    <col min="1" max="1" width="2.19921875" customWidth="1"/>
    <col min="2" max="2" width="6.69921875" bestFit="1" customWidth="1"/>
    <col min="3" max="3" width="27.59765625" bestFit="1" customWidth="1"/>
    <col min="4" max="4" width="5.69921875" bestFit="1" customWidth="1"/>
    <col min="5" max="5" width="8.09765625" bestFit="1" customWidth="1"/>
    <col min="6" max="6" width="9.8984375" bestFit="1" customWidth="1"/>
    <col min="7" max="8" width="9.296875" bestFit="1" customWidth="1"/>
  </cols>
  <sheetData>
    <row r="1" spans="1:8" x14ac:dyDescent="0.3">
      <c r="A1" s="5" t="s">
        <v>140</v>
      </c>
    </row>
    <row r="2" spans="1:8" x14ac:dyDescent="0.3">
      <c r="A2" s="5" t="s">
        <v>141</v>
      </c>
    </row>
    <row r="3" spans="1:8" x14ac:dyDescent="0.3">
      <c r="A3" s="5" t="s">
        <v>322</v>
      </c>
    </row>
    <row r="6" spans="1:8" ht="16.2" thickBot="1" x14ac:dyDescent="0.35">
      <c r="A6" t="s">
        <v>142</v>
      </c>
    </row>
    <row r="7" spans="1:8" x14ac:dyDescent="0.3">
      <c r="B7" s="40"/>
      <c r="C7" s="40"/>
      <c r="D7" s="40" t="s">
        <v>145</v>
      </c>
      <c r="E7" s="40" t="s">
        <v>147</v>
      </c>
      <c r="F7" s="40" t="s">
        <v>148</v>
      </c>
      <c r="G7" s="40" t="s">
        <v>150</v>
      </c>
      <c r="H7" s="40" t="s">
        <v>150</v>
      </c>
    </row>
    <row r="8" spans="1:8" ht="16.2" thickBot="1" x14ac:dyDescent="0.35">
      <c r="B8" s="41" t="s">
        <v>143</v>
      </c>
      <c r="C8" s="41" t="s">
        <v>144</v>
      </c>
      <c r="D8" s="41" t="s">
        <v>146</v>
      </c>
      <c r="E8" s="41" t="s">
        <v>53</v>
      </c>
      <c r="F8" s="41" t="s">
        <v>149</v>
      </c>
      <c r="G8" s="41" t="s">
        <v>151</v>
      </c>
      <c r="H8" s="41" t="s">
        <v>152</v>
      </c>
    </row>
    <row r="9" spans="1:8" x14ac:dyDescent="0.3">
      <c r="B9" s="38" t="s">
        <v>157</v>
      </c>
      <c r="C9" s="38" t="s">
        <v>164</v>
      </c>
      <c r="D9" s="38">
        <v>0</v>
      </c>
      <c r="E9" s="38">
        <v>997</v>
      </c>
      <c r="F9" s="38">
        <v>1000</v>
      </c>
      <c r="G9" s="38">
        <v>1E+30</v>
      </c>
      <c r="H9" s="38">
        <v>997</v>
      </c>
    </row>
    <row r="10" spans="1:8" x14ac:dyDescent="0.3">
      <c r="B10" s="38" t="s">
        <v>159</v>
      </c>
      <c r="C10" s="38" t="s">
        <v>323</v>
      </c>
      <c r="D10" s="38">
        <v>45</v>
      </c>
      <c r="E10" s="38">
        <v>0</v>
      </c>
      <c r="F10" s="38">
        <v>3</v>
      </c>
      <c r="G10" s="38">
        <v>1</v>
      </c>
      <c r="H10" s="38">
        <v>1</v>
      </c>
    </row>
    <row r="11" spans="1:8" x14ac:dyDescent="0.3">
      <c r="B11" s="38" t="s">
        <v>161</v>
      </c>
      <c r="C11" s="38" t="s">
        <v>167</v>
      </c>
      <c r="D11" s="38">
        <v>0</v>
      </c>
      <c r="E11" s="38">
        <v>1</v>
      </c>
      <c r="F11" s="38">
        <v>4</v>
      </c>
      <c r="G11" s="38">
        <v>1E+30</v>
      </c>
      <c r="H11" s="38">
        <v>1</v>
      </c>
    </row>
    <row r="12" spans="1:8" x14ac:dyDescent="0.3">
      <c r="B12" s="38" t="s">
        <v>163</v>
      </c>
      <c r="C12" s="38" t="s">
        <v>169</v>
      </c>
      <c r="D12" s="38">
        <v>0</v>
      </c>
      <c r="E12" s="38">
        <v>6</v>
      </c>
      <c r="F12" s="38">
        <v>9</v>
      </c>
      <c r="G12" s="38">
        <v>1E+30</v>
      </c>
      <c r="H12" s="38">
        <v>6</v>
      </c>
    </row>
    <row r="13" spans="1:8" x14ac:dyDescent="0.3">
      <c r="B13" s="38" t="s">
        <v>165</v>
      </c>
      <c r="C13" s="38" t="s">
        <v>171</v>
      </c>
      <c r="D13" s="38">
        <v>0</v>
      </c>
      <c r="E13" s="38">
        <v>2</v>
      </c>
      <c r="F13" s="38">
        <v>5</v>
      </c>
      <c r="G13" s="38">
        <v>1E+30</v>
      </c>
      <c r="H13" s="38">
        <v>2</v>
      </c>
    </row>
    <row r="14" spans="1:8" x14ac:dyDescent="0.3">
      <c r="B14" s="38" t="s">
        <v>166</v>
      </c>
      <c r="C14" s="38" t="s">
        <v>173</v>
      </c>
      <c r="D14" s="38">
        <v>0</v>
      </c>
      <c r="E14" s="38">
        <v>1</v>
      </c>
      <c r="F14" s="38">
        <v>4</v>
      </c>
      <c r="G14" s="38">
        <v>1E+30</v>
      </c>
      <c r="H14" s="38">
        <v>1</v>
      </c>
    </row>
    <row r="15" spans="1:8" x14ac:dyDescent="0.3">
      <c r="B15" s="38" t="s">
        <v>168</v>
      </c>
      <c r="C15" s="38" t="s">
        <v>158</v>
      </c>
      <c r="D15" s="38">
        <v>0</v>
      </c>
      <c r="E15" s="38">
        <v>0</v>
      </c>
      <c r="F15" s="38">
        <v>12</v>
      </c>
      <c r="G15" s="38">
        <v>1</v>
      </c>
      <c r="H15" s="38">
        <v>4</v>
      </c>
    </row>
    <row r="16" spans="1:8" x14ac:dyDescent="0.3">
      <c r="B16" s="38" t="s">
        <v>170</v>
      </c>
      <c r="C16" s="38" t="s">
        <v>160</v>
      </c>
      <c r="D16" s="38">
        <v>0</v>
      </c>
      <c r="E16" s="38">
        <v>3</v>
      </c>
      <c r="F16" s="38">
        <v>15</v>
      </c>
      <c r="G16" s="38">
        <v>1E+30</v>
      </c>
      <c r="H16" s="38">
        <v>3</v>
      </c>
    </row>
    <row r="17" spans="2:8" x14ac:dyDescent="0.3">
      <c r="B17" s="38" t="s">
        <v>172</v>
      </c>
      <c r="C17" s="38" t="s">
        <v>162</v>
      </c>
      <c r="D17" s="38">
        <v>0</v>
      </c>
      <c r="E17" s="38">
        <v>4</v>
      </c>
      <c r="F17" s="38">
        <v>17</v>
      </c>
      <c r="G17" s="38">
        <v>1E+30</v>
      </c>
      <c r="H17" s="38">
        <v>4</v>
      </c>
    </row>
    <row r="18" spans="2:8" x14ac:dyDescent="0.3">
      <c r="B18" s="38" t="s">
        <v>174</v>
      </c>
      <c r="C18" s="38" t="s">
        <v>324</v>
      </c>
      <c r="D18" s="38">
        <v>0</v>
      </c>
      <c r="E18" s="38">
        <v>6</v>
      </c>
      <c r="F18" s="38">
        <v>6</v>
      </c>
      <c r="G18" s="38">
        <v>1E+30</v>
      </c>
      <c r="H18" s="38">
        <v>6</v>
      </c>
    </row>
    <row r="19" spans="2:8" x14ac:dyDescent="0.3">
      <c r="B19" s="38" t="s">
        <v>175</v>
      </c>
      <c r="C19" s="38" t="s">
        <v>325</v>
      </c>
      <c r="D19" s="38">
        <v>0</v>
      </c>
      <c r="E19" s="38">
        <v>1000</v>
      </c>
      <c r="F19" s="38">
        <v>1000</v>
      </c>
      <c r="G19" s="38">
        <v>1E+30</v>
      </c>
      <c r="H19" s="38">
        <v>1000</v>
      </c>
    </row>
    <row r="20" spans="2:8" x14ac:dyDescent="0.3">
      <c r="B20" s="38" t="s">
        <v>176</v>
      </c>
      <c r="C20" s="38" t="s">
        <v>326</v>
      </c>
      <c r="D20" s="38">
        <v>0</v>
      </c>
      <c r="E20" s="38">
        <v>7</v>
      </c>
      <c r="F20" s="38">
        <v>7</v>
      </c>
      <c r="G20" s="38">
        <v>1E+30</v>
      </c>
      <c r="H20" s="38">
        <v>7</v>
      </c>
    </row>
    <row r="21" spans="2:8" x14ac:dyDescent="0.3">
      <c r="B21" s="38" t="s">
        <v>177</v>
      </c>
      <c r="C21" s="38" t="s">
        <v>327</v>
      </c>
      <c r="D21" s="38">
        <v>0</v>
      </c>
      <c r="E21" s="38">
        <v>6</v>
      </c>
      <c r="F21" s="38">
        <v>6</v>
      </c>
      <c r="G21" s="38">
        <v>1E+30</v>
      </c>
      <c r="H21" s="38">
        <v>6</v>
      </c>
    </row>
    <row r="22" spans="2:8" x14ac:dyDescent="0.3">
      <c r="B22" s="38" t="s">
        <v>178</v>
      </c>
      <c r="C22" s="38" t="s">
        <v>328</v>
      </c>
      <c r="D22" s="38">
        <v>0</v>
      </c>
      <c r="E22" s="38">
        <v>9</v>
      </c>
      <c r="F22" s="38">
        <v>9</v>
      </c>
      <c r="G22" s="38">
        <v>1E+30</v>
      </c>
      <c r="H22" s="38">
        <v>9</v>
      </c>
    </row>
    <row r="23" spans="2:8" x14ac:dyDescent="0.3">
      <c r="B23" s="38" t="s">
        <v>179</v>
      </c>
      <c r="C23" s="38" t="s">
        <v>329</v>
      </c>
      <c r="D23" s="38">
        <v>0</v>
      </c>
      <c r="E23" s="38">
        <v>4</v>
      </c>
      <c r="F23" s="38">
        <v>4</v>
      </c>
      <c r="G23" s="38">
        <v>1E+30</v>
      </c>
      <c r="H23" s="38">
        <v>4</v>
      </c>
    </row>
    <row r="24" spans="2:8" x14ac:dyDescent="0.3">
      <c r="B24" s="38" t="s">
        <v>180</v>
      </c>
      <c r="C24" s="38" t="s">
        <v>330</v>
      </c>
      <c r="D24" s="38">
        <v>0</v>
      </c>
      <c r="E24" s="38">
        <v>5</v>
      </c>
      <c r="F24" s="38">
        <v>14</v>
      </c>
      <c r="G24" s="38">
        <v>1E+30</v>
      </c>
      <c r="H24" s="38">
        <v>5</v>
      </c>
    </row>
    <row r="25" spans="2:8" x14ac:dyDescent="0.3">
      <c r="B25" s="38" t="s">
        <v>181</v>
      </c>
      <c r="C25" s="38" t="s">
        <v>331</v>
      </c>
      <c r="D25" s="38">
        <v>80</v>
      </c>
      <c r="E25" s="38">
        <v>0</v>
      </c>
      <c r="F25" s="38">
        <v>9</v>
      </c>
      <c r="G25" s="38">
        <v>3</v>
      </c>
      <c r="H25" s="38">
        <v>1E+30</v>
      </c>
    </row>
    <row r="26" spans="2:8" x14ac:dyDescent="0.3">
      <c r="B26" s="38" t="s">
        <v>182</v>
      </c>
      <c r="C26" s="38" t="s">
        <v>332</v>
      </c>
      <c r="D26" s="38">
        <v>8</v>
      </c>
      <c r="E26" s="38">
        <v>0</v>
      </c>
      <c r="F26" s="38">
        <v>10</v>
      </c>
      <c r="G26" s="38">
        <v>4</v>
      </c>
      <c r="H26" s="38">
        <v>3</v>
      </c>
    </row>
    <row r="27" spans="2:8" x14ac:dyDescent="0.3">
      <c r="B27" s="38" t="s">
        <v>183</v>
      </c>
      <c r="C27" s="38" t="s">
        <v>190</v>
      </c>
      <c r="D27" s="38">
        <v>0</v>
      </c>
      <c r="E27" s="38">
        <v>4</v>
      </c>
      <c r="F27" s="38">
        <v>5</v>
      </c>
      <c r="G27" s="38">
        <v>1E+30</v>
      </c>
      <c r="H27" s="38">
        <v>4</v>
      </c>
    </row>
    <row r="28" spans="2:8" x14ac:dyDescent="0.3">
      <c r="B28" s="38" t="s">
        <v>185</v>
      </c>
      <c r="C28" s="38" t="s">
        <v>333</v>
      </c>
      <c r="D28" s="38">
        <v>0</v>
      </c>
      <c r="E28" s="38">
        <v>6</v>
      </c>
      <c r="F28" s="38">
        <v>7</v>
      </c>
      <c r="G28" s="38">
        <v>1E+30</v>
      </c>
      <c r="H28" s="38">
        <v>6</v>
      </c>
    </row>
    <row r="29" spans="2:8" x14ac:dyDescent="0.3">
      <c r="B29" s="38" t="s">
        <v>187</v>
      </c>
      <c r="C29" s="38" t="s">
        <v>193</v>
      </c>
      <c r="D29" s="38">
        <v>0</v>
      </c>
      <c r="E29" s="38">
        <v>999</v>
      </c>
      <c r="F29" s="38">
        <v>1000</v>
      </c>
      <c r="G29" s="38">
        <v>1E+30</v>
      </c>
      <c r="H29" s="38">
        <v>999</v>
      </c>
    </row>
    <row r="30" spans="2:8" x14ac:dyDescent="0.3">
      <c r="B30" s="38" t="s">
        <v>189</v>
      </c>
      <c r="C30" s="38" t="s">
        <v>195</v>
      </c>
      <c r="D30" s="38">
        <v>0</v>
      </c>
      <c r="E30" s="38">
        <v>2</v>
      </c>
      <c r="F30" s="38">
        <v>3</v>
      </c>
      <c r="G30" s="38">
        <v>1E+30</v>
      </c>
      <c r="H30" s="38">
        <v>2</v>
      </c>
    </row>
    <row r="31" spans="2:8" x14ac:dyDescent="0.3">
      <c r="B31" s="38" t="s">
        <v>191</v>
      </c>
      <c r="C31" s="38" t="s">
        <v>197</v>
      </c>
      <c r="D31" s="38">
        <v>0</v>
      </c>
      <c r="E31" s="38">
        <v>3</v>
      </c>
      <c r="F31" s="38">
        <v>4</v>
      </c>
      <c r="G31" s="38">
        <v>1E+30</v>
      </c>
      <c r="H31" s="38">
        <v>3</v>
      </c>
    </row>
    <row r="32" spans="2:8" x14ac:dyDescent="0.3">
      <c r="B32" s="38" t="s">
        <v>192</v>
      </c>
      <c r="C32" s="38" t="s">
        <v>199</v>
      </c>
      <c r="D32" s="38">
        <v>0</v>
      </c>
      <c r="E32" s="38">
        <v>8</v>
      </c>
      <c r="F32" s="38">
        <v>9</v>
      </c>
      <c r="G32" s="38">
        <v>1E+30</v>
      </c>
      <c r="H32" s="38">
        <v>8</v>
      </c>
    </row>
    <row r="33" spans="2:8" x14ac:dyDescent="0.3">
      <c r="B33" s="38" t="s">
        <v>194</v>
      </c>
      <c r="C33" s="38" t="s">
        <v>184</v>
      </c>
      <c r="D33" s="38">
        <v>0</v>
      </c>
      <c r="E33" s="38">
        <v>3</v>
      </c>
      <c r="F33" s="38">
        <v>13</v>
      </c>
      <c r="G33" s="38">
        <v>1E+30</v>
      </c>
      <c r="H33" s="38">
        <v>3</v>
      </c>
    </row>
    <row r="34" spans="2:8" x14ac:dyDescent="0.3">
      <c r="B34" s="38" t="s">
        <v>196</v>
      </c>
      <c r="C34" s="38" t="s">
        <v>186</v>
      </c>
      <c r="D34" s="38">
        <v>0</v>
      </c>
      <c r="E34" s="38">
        <v>10</v>
      </c>
      <c r="F34" s="38">
        <v>20</v>
      </c>
      <c r="G34" s="38">
        <v>1E+30</v>
      </c>
      <c r="H34" s="38">
        <v>10</v>
      </c>
    </row>
    <row r="35" spans="2:8" x14ac:dyDescent="0.3">
      <c r="B35" s="38" t="s">
        <v>198</v>
      </c>
      <c r="C35" s="38" t="s">
        <v>188</v>
      </c>
      <c r="D35" s="38">
        <v>42</v>
      </c>
      <c r="E35" s="38">
        <v>0</v>
      </c>
      <c r="F35" s="38">
        <v>11</v>
      </c>
      <c r="G35" s="38">
        <v>2</v>
      </c>
      <c r="H35" s="38">
        <v>1E+30</v>
      </c>
    </row>
    <row r="36" spans="2:8" x14ac:dyDescent="0.3">
      <c r="B36" s="38" t="s">
        <v>200</v>
      </c>
      <c r="C36" s="38" t="s">
        <v>207</v>
      </c>
      <c r="D36" s="38">
        <v>0</v>
      </c>
      <c r="E36" s="38">
        <v>2</v>
      </c>
      <c r="F36" s="38">
        <v>5</v>
      </c>
      <c r="G36" s="38">
        <v>1E+30</v>
      </c>
      <c r="H36" s="38">
        <v>2</v>
      </c>
    </row>
    <row r="37" spans="2:8" x14ac:dyDescent="0.3">
      <c r="B37" s="38" t="s">
        <v>202</v>
      </c>
      <c r="C37" s="38" t="s">
        <v>334</v>
      </c>
      <c r="D37" s="38">
        <v>0</v>
      </c>
      <c r="E37" s="38">
        <v>1</v>
      </c>
      <c r="F37" s="38">
        <v>4</v>
      </c>
      <c r="G37" s="38">
        <v>1E+30</v>
      </c>
      <c r="H37" s="38">
        <v>1</v>
      </c>
    </row>
    <row r="38" spans="2:8" x14ac:dyDescent="0.3">
      <c r="B38" s="38" t="s">
        <v>204</v>
      </c>
      <c r="C38" s="38" t="s">
        <v>210</v>
      </c>
      <c r="D38" s="38">
        <v>53</v>
      </c>
      <c r="E38" s="38">
        <v>0</v>
      </c>
      <c r="F38" s="38">
        <v>3</v>
      </c>
      <c r="G38" s="38">
        <v>0</v>
      </c>
      <c r="H38" s="38">
        <v>1E+30</v>
      </c>
    </row>
    <row r="39" spans="2:8" x14ac:dyDescent="0.3">
      <c r="B39" s="38" t="s">
        <v>206</v>
      </c>
      <c r="C39" s="38" t="s">
        <v>212</v>
      </c>
      <c r="D39" s="38">
        <v>0</v>
      </c>
      <c r="E39" s="38">
        <v>997</v>
      </c>
      <c r="F39" s="38">
        <v>1000</v>
      </c>
      <c r="G39" s="38">
        <v>1E+30</v>
      </c>
      <c r="H39" s="38">
        <v>997</v>
      </c>
    </row>
    <row r="40" spans="2:8" x14ac:dyDescent="0.3">
      <c r="B40" s="38" t="s">
        <v>208</v>
      </c>
      <c r="C40" s="38" t="s">
        <v>214</v>
      </c>
      <c r="D40" s="38">
        <v>0</v>
      </c>
      <c r="E40" s="38">
        <v>0</v>
      </c>
      <c r="F40" s="38">
        <v>3</v>
      </c>
      <c r="G40" s="38">
        <v>1E+30</v>
      </c>
      <c r="H40" s="38">
        <v>0</v>
      </c>
    </row>
    <row r="41" spans="2:8" x14ac:dyDescent="0.3">
      <c r="B41" s="38" t="s">
        <v>209</v>
      </c>
      <c r="C41" s="38" t="s">
        <v>216</v>
      </c>
      <c r="D41" s="38">
        <v>0</v>
      </c>
      <c r="E41" s="38">
        <v>8</v>
      </c>
      <c r="F41" s="38">
        <v>11</v>
      </c>
      <c r="G41" s="38">
        <v>1E+30</v>
      </c>
      <c r="H41" s="38">
        <v>8</v>
      </c>
    </row>
    <row r="42" spans="2:8" x14ac:dyDescent="0.3">
      <c r="B42" s="38" t="s">
        <v>211</v>
      </c>
      <c r="C42" s="38" t="s">
        <v>201</v>
      </c>
      <c r="D42" s="38">
        <v>0</v>
      </c>
      <c r="E42" s="38">
        <v>5</v>
      </c>
      <c r="F42" s="38">
        <v>17</v>
      </c>
      <c r="G42" s="38">
        <v>1E+30</v>
      </c>
      <c r="H42" s="38">
        <v>5</v>
      </c>
    </row>
    <row r="43" spans="2:8" x14ac:dyDescent="0.3">
      <c r="B43" s="38" t="s">
        <v>213</v>
      </c>
      <c r="C43" s="38" t="s">
        <v>203</v>
      </c>
      <c r="D43" s="38">
        <v>0</v>
      </c>
      <c r="E43" s="38">
        <v>4</v>
      </c>
      <c r="F43" s="38">
        <v>16</v>
      </c>
      <c r="G43" s="38">
        <v>1E+30</v>
      </c>
      <c r="H43" s="38">
        <v>4</v>
      </c>
    </row>
    <row r="44" spans="2:8" x14ac:dyDescent="0.3">
      <c r="B44" s="38" t="s">
        <v>215</v>
      </c>
      <c r="C44" s="38" t="s">
        <v>205</v>
      </c>
      <c r="D44" s="38">
        <v>0</v>
      </c>
      <c r="E44" s="38">
        <v>6</v>
      </c>
      <c r="F44" s="38">
        <v>19</v>
      </c>
      <c r="G44" s="38">
        <v>1E+30</v>
      </c>
      <c r="H44" s="38">
        <v>6</v>
      </c>
    </row>
    <row r="45" spans="2:8" x14ac:dyDescent="0.3">
      <c r="B45" s="38" t="s">
        <v>217</v>
      </c>
      <c r="C45" s="38" t="s">
        <v>224</v>
      </c>
      <c r="D45" s="38">
        <v>0</v>
      </c>
      <c r="E45" s="38">
        <v>7</v>
      </c>
      <c r="F45" s="38">
        <v>5</v>
      </c>
      <c r="G45" s="38">
        <v>1E+30</v>
      </c>
      <c r="H45" s="38">
        <v>7</v>
      </c>
    </row>
    <row r="46" spans="2:8" x14ac:dyDescent="0.3">
      <c r="B46" s="38" t="s">
        <v>219</v>
      </c>
      <c r="C46" s="38" t="s">
        <v>335</v>
      </c>
      <c r="D46" s="38">
        <v>0</v>
      </c>
      <c r="E46" s="38">
        <v>11</v>
      </c>
      <c r="F46" s="38">
        <v>9</v>
      </c>
      <c r="G46" s="38">
        <v>1E+30</v>
      </c>
      <c r="H46" s="38">
        <v>11</v>
      </c>
    </row>
    <row r="47" spans="2:8" x14ac:dyDescent="0.3">
      <c r="B47" s="38" t="s">
        <v>221</v>
      </c>
      <c r="C47" s="38" t="s">
        <v>227</v>
      </c>
      <c r="D47" s="38">
        <v>0</v>
      </c>
      <c r="E47" s="38">
        <v>7</v>
      </c>
      <c r="F47" s="38">
        <v>5</v>
      </c>
      <c r="G47" s="38">
        <v>1E+30</v>
      </c>
      <c r="H47" s="38">
        <v>7</v>
      </c>
    </row>
    <row r="48" spans="2:8" x14ac:dyDescent="0.3">
      <c r="B48" s="38" t="s">
        <v>223</v>
      </c>
      <c r="C48" s="38" t="s">
        <v>229</v>
      </c>
      <c r="D48" s="38">
        <v>0</v>
      </c>
      <c r="E48" s="38">
        <v>5</v>
      </c>
      <c r="F48" s="38">
        <v>3</v>
      </c>
      <c r="G48" s="38">
        <v>1E+30</v>
      </c>
      <c r="H48" s="38">
        <v>5</v>
      </c>
    </row>
    <row r="49" spans="2:8" x14ac:dyDescent="0.3">
      <c r="B49" s="38" t="s">
        <v>225</v>
      </c>
      <c r="C49" s="38" t="s">
        <v>231</v>
      </c>
      <c r="D49" s="38">
        <v>0</v>
      </c>
      <c r="E49" s="38">
        <v>1002</v>
      </c>
      <c r="F49" s="38">
        <v>1000</v>
      </c>
      <c r="G49" s="38">
        <v>1E+30</v>
      </c>
      <c r="H49" s="38">
        <v>1002</v>
      </c>
    </row>
    <row r="50" spans="2:8" x14ac:dyDescent="0.3">
      <c r="B50" s="38" t="s">
        <v>226</v>
      </c>
      <c r="C50" s="38" t="s">
        <v>233</v>
      </c>
      <c r="D50" s="38">
        <v>0</v>
      </c>
      <c r="E50" s="38">
        <v>16</v>
      </c>
      <c r="F50" s="38">
        <v>14</v>
      </c>
      <c r="G50" s="38">
        <v>1E+30</v>
      </c>
      <c r="H50" s="38">
        <v>16</v>
      </c>
    </row>
    <row r="51" spans="2:8" x14ac:dyDescent="0.3">
      <c r="B51" s="38" t="s">
        <v>228</v>
      </c>
      <c r="C51" s="38" t="s">
        <v>218</v>
      </c>
      <c r="D51" s="38">
        <v>65</v>
      </c>
      <c r="E51" s="38">
        <v>0</v>
      </c>
      <c r="F51" s="38">
        <v>7</v>
      </c>
      <c r="G51" s="38">
        <v>4</v>
      </c>
      <c r="H51" s="38">
        <v>1E+30</v>
      </c>
    </row>
    <row r="52" spans="2:8" x14ac:dyDescent="0.3">
      <c r="B52" s="38" t="s">
        <v>230</v>
      </c>
      <c r="C52" s="38" t="s">
        <v>220</v>
      </c>
      <c r="D52" s="38">
        <v>0</v>
      </c>
      <c r="E52" s="38">
        <v>7</v>
      </c>
      <c r="F52" s="38">
        <v>14</v>
      </c>
      <c r="G52" s="38">
        <v>1E+30</v>
      </c>
      <c r="H52" s="38">
        <v>7</v>
      </c>
    </row>
    <row r="53" spans="2:8" x14ac:dyDescent="0.3">
      <c r="B53" s="38" t="s">
        <v>232</v>
      </c>
      <c r="C53" s="38" t="s">
        <v>222</v>
      </c>
      <c r="D53" s="38">
        <v>0</v>
      </c>
      <c r="E53" s="38">
        <v>4</v>
      </c>
      <c r="F53" s="38">
        <v>12</v>
      </c>
      <c r="G53" s="38">
        <v>1E+30</v>
      </c>
      <c r="H53" s="38">
        <v>4</v>
      </c>
    </row>
    <row r="54" spans="2:8" x14ac:dyDescent="0.3">
      <c r="B54" s="38" t="s">
        <v>234</v>
      </c>
      <c r="C54" s="38" t="s">
        <v>241</v>
      </c>
      <c r="D54" s="38">
        <v>38</v>
      </c>
      <c r="E54" s="38">
        <v>0</v>
      </c>
      <c r="F54" s="38">
        <v>4</v>
      </c>
      <c r="G54" s="38">
        <v>3</v>
      </c>
      <c r="H54" s="38">
        <v>1E+30</v>
      </c>
    </row>
    <row r="55" spans="2:8" x14ac:dyDescent="0.3">
      <c r="B55" s="38" t="s">
        <v>236</v>
      </c>
      <c r="C55" s="38" t="s">
        <v>336</v>
      </c>
      <c r="D55" s="38">
        <v>0</v>
      </c>
      <c r="E55" s="38">
        <v>3</v>
      </c>
      <c r="F55" s="38">
        <v>7</v>
      </c>
      <c r="G55" s="38">
        <v>1E+30</v>
      </c>
      <c r="H55" s="38">
        <v>3</v>
      </c>
    </row>
    <row r="56" spans="2:8" x14ac:dyDescent="0.3">
      <c r="B56" s="38" t="s">
        <v>238</v>
      </c>
      <c r="C56" s="38" t="s">
        <v>244</v>
      </c>
      <c r="D56" s="38">
        <v>0</v>
      </c>
      <c r="E56" s="38">
        <v>7</v>
      </c>
      <c r="F56" s="38">
        <v>11</v>
      </c>
      <c r="G56" s="38">
        <v>1E+30</v>
      </c>
      <c r="H56" s="38">
        <v>7</v>
      </c>
    </row>
    <row r="57" spans="2:8" x14ac:dyDescent="0.3">
      <c r="B57" s="38" t="s">
        <v>240</v>
      </c>
      <c r="C57" s="38" t="s">
        <v>246</v>
      </c>
      <c r="D57" s="38">
        <v>0</v>
      </c>
      <c r="E57" s="38">
        <v>8</v>
      </c>
      <c r="F57" s="38">
        <v>12</v>
      </c>
      <c r="G57" s="38">
        <v>1E+30</v>
      </c>
      <c r="H57" s="38">
        <v>8</v>
      </c>
    </row>
    <row r="58" spans="2:8" x14ac:dyDescent="0.3">
      <c r="B58" s="38" t="s">
        <v>242</v>
      </c>
      <c r="C58" s="38" t="s">
        <v>248</v>
      </c>
      <c r="D58" s="38">
        <v>0</v>
      </c>
      <c r="E58" s="38">
        <v>4</v>
      </c>
      <c r="F58" s="38">
        <v>8</v>
      </c>
      <c r="G58" s="38">
        <v>1E+30</v>
      </c>
      <c r="H58" s="38">
        <v>4</v>
      </c>
    </row>
    <row r="59" spans="2:8" x14ac:dyDescent="0.3">
      <c r="B59" s="38" t="s">
        <v>243</v>
      </c>
      <c r="C59" s="38" t="s">
        <v>250</v>
      </c>
      <c r="D59" s="38">
        <v>0</v>
      </c>
      <c r="E59" s="38">
        <v>996</v>
      </c>
      <c r="F59" s="38">
        <v>1000</v>
      </c>
      <c r="G59" s="38">
        <v>1E+30</v>
      </c>
      <c r="H59" s="38">
        <v>996</v>
      </c>
    </row>
    <row r="60" spans="2:8" x14ac:dyDescent="0.3">
      <c r="B60" s="38" t="s">
        <v>245</v>
      </c>
      <c r="C60" s="38" t="s">
        <v>235</v>
      </c>
      <c r="D60" s="38">
        <v>0</v>
      </c>
      <c r="E60" s="38">
        <v>9</v>
      </c>
      <c r="F60" s="38">
        <v>22</v>
      </c>
      <c r="G60" s="38">
        <v>1E+30</v>
      </c>
      <c r="H60" s="38">
        <v>9</v>
      </c>
    </row>
    <row r="61" spans="2:8" x14ac:dyDescent="0.3">
      <c r="B61" s="38" t="s">
        <v>247</v>
      </c>
      <c r="C61" s="38" t="s">
        <v>237</v>
      </c>
      <c r="D61" s="38">
        <v>0</v>
      </c>
      <c r="E61" s="38">
        <v>3</v>
      </c>
      <c r="F61" s="38">
        <v>16</v>
      </c>
      <c r="G61" s="38">
        <v>1E+30</v>
      </c>
      <c r="H61" s="38">
        <v>3</v>
      </c>
    </row>
    <row r="62" spans="2:8" x14ac:dyDescent="0.3">
      <c r="B62" s="38" t="s">
        <v>249</v>
      </c>
      <c r="C62" s="38" t="s">
        <v>239</v>
      </c>
      <c r="D62" s="38">
        <v>0</v>
      </c>
      <c r="E62" s="38">
        <v>4</v>
      </c>
      <c r="F62" s="38">
        <v>18</v>
      </c>
      <c r="G62" s="38">
        <v>1E+30</v>
      </c>
      <c r="H62" s="38">
        <v>4</v>
      </c>
    </row>
    <row r="63" spans="2:8" x14ac:dyDescent="0.3">
      <c r="B63" s="38" t="s">
        <v>251</v>
      </c>
      <c r="C63" s="38" t="s">
        <v>258</v>
      </c>
      <c r="D63" s="38">
        <v>0</v>
      </c>
      <c r="E63" s="38">
        <v>1000</v>
      </c>
      <c r="F63" s="38">
        <v>1000</v>
      </c>
      <c r="G63" s="38">
        <v>1E+30</v>
      </c>
      <c r="H63" s="38">
        <v>1000</v>
      </c>
    </row>
    <row r="64" spans="2:8" x14ac:dyDescent="0.3">
      <c r="B64" s="38" t="s">
        <v>253</v>
      </c>
      <c r="C64" s="38" t="s">
        <v>337</v>
      </c>
      <c r="D64" s="38">
        <v>0</v>
      </c>
      <c r="E64" s="38">
        <v>1000</v>
      </c>
      <c r="F64" s="38">
        <v>1000</v>
      </c>
      <c r="G64" s="38">
        <v>1E+30</v>
      </c>
      <c r="H64" s="38">
        <v>1000</v>
      </c>
    </row>
    <row r="65" spans="2:8" x14ac:dyDescent="0.3">
      <c r="B65" s="38" t="s">
        <v>255</v>
      </c>
      <c r="C65" s="38" t="s">
        <v>261</v>
      </c>
      <c r="D65" s="38">
        <v>0</v>
      </c>
      <c r="E65" s="38">
        <v>1000</v>
      </c>
      <c r="F65" s="38">
        <v>1000</v>
      </c>
      <c r="G65" s="38">
        <v>1E+30</v>
      </c>
      <c r="H65" s="38">
        <v>1000</v>
      </c>
    </row>
    <row r="66" spans="2:8" x14ac:dyDescent="0.3">
      <c r="B66" s="38" t="s">
        <v>257</v>
      </c>
      <c r="C66" s="38" t="s">
        <v>263</v>
      </c>
      <c r="D66" s="38">
        <v>0</v>
      </c>
      <c r="E66" s="38">
        <v>1000</v>
      </c>
      <c r="F66" s="38">
        <v>1000</v>
      </c>
      <c r="G66" s="38">
        <v>1E+30</v>
      </c>
      <c r="H66" s="38">
        <v>1000</v>
      </c>
    </row>
    <row r="67" spans="2:8" x14ac:dyDescent="0.3">
      <c r="B67" s="38" t="s">
        <v>259</v>
      </c>
      <c r="C67" s="38" t="s">
        <v>265</v>
      </c>
      <c r="D67" s="38">
        <v>0</v>
      </c>
      <c r="E67" s="38">
        <v>1000</v>
      </c>
      <c r="F67" s="38">
        <v>1000</v>
      </c>
      <c r="G67" s="38">
        <v>1E+30</v>
      </c>
      <c r="H67" s="38">
        <v>1000</v>
      </c>
    </row>
    <row r="68" spans="2:8" x14ac:dyDescent="0.3">
      <c r="B68" s="38" t="s">
        <v>260</v>
      </c>
      <c r="C68" s="38" t="s">
        <v>267</v>
      </c>
      <c r="D68" s="38">
        <v>0</v>
      </c>
      <c r="E68" s="38">
        <v>1000</v>
      </c>
      <c r="F68" s="38">
        <v>1000</v>
      </c>
      <c r="G68" s="38">
        <v>1E+30</v>
      </c>
      <c r="H68" s="38">
        <v>1000</v>
      </c>
    </row>
    <row r="69" spans="2:8" x14ac:dyDescent="0.3">
      <c r="B69" s="38" t="s">
        <v>262</v>
      </c>
      <c r="C69" s="38" t="s">
        <v>252</v>
      </c>
      <c r="D69" s="38">
        <v>0</v>
      </c>
      <c r="E69" s="38">
        <v>991</v>
      </c>
      <c r="F69" s="38">
        <v>1000</v>
      </c>
      <c r="G69" s="38">
        <v>1E+30</v>
      </c>
      <c r="H69" s="38">
        <v>991</v>
      </c>
    </row>
    <row r="70" spans="2:8" x14ac:dyDescent="0.3">
      <c r="B70" s="38" t="s">
        <v>264</v>
      </c>
      <c r="C70" s="38" t="s">
        <v>254</v>
      </c>
      <c r="D70" s="38">
        <v>0</v>
      </c>
      <c r="E70" s="38">
        <v>3</v>
      </c>
      <c r="F70" s="38">
        <v>12</v>
      </c>
      <c r="G70" s="38">
        <v>1E+30</v>
      </c>
      <c r="H70" s="38">
        <v>3</v>
      </c>
    </row>
    <row r="71" spans="2:8" x14ac:dyDescent="0.3">
      <c r="B71" s="38" t="s">
        <v>266</v>
      </c>
      <c r="C71" s="38" t="s">
        <v>256</v>
      </c>
      <c r="D71" s="38">
        <v>55</v>
      </c>
      <c r="E71" s="38">
        <v>0</v>
      </c>
      <c r="F71" s="38">
        <v>10</v>
      </c>
      <c r="G71" s="38">
        <v>3</v>
      </c>
      <c r="H71" s="38">
        <v>2</v>
      </c>
    </row>
    <row r="72" spans="2:8" x14ac:dyDescent="0.3">
      <c r="B72" s="38" t="s">
        <v>268</v>
      </c>
      <c r="C72" s="38" t="s">
        <v>275</v>
      </c>
      <c r="D72" s="38">
        <v>0</v>
      </c>
      <c r="E72" s="38">
        <v>1000</v>
      </c>
      <c r="F72" s="38">
        <v>1000</v>
      </c>
      <c r="G72" s="38">
        <v>1E+30</v>
      </c>
      <c r="H72" s="38">
        <v>1000</v>
      </c>
    </row>
    <row r="73" spans="2:8" x14ac:dyDescent="0.3">
      <c r="B73" s="38" t="s">
        <v>270</v>
      </c>
      <c r="C73" s="38" t="s">
        <v>338</v>
      </c>
      <c r="D73" s="38">
        <v>0</v>
      </c>
      <c r="E73" s="38">
        <v>1000</v>
      </c>
      <c r="F73" s="38">
        <v>1000</v>
      </c>
      <c r="G73" s="38">
        <v>1E+30</v>
      </c>
      <c r="H73" s="38">
        <v>1000</v>
      </c>
    </row>
    <row r="74" spans="2:8" x14ac:dyDescent="0.3">
      <c r="B74" s="38" t="s">
        <v>272</v>
      </c>
      <c r="C74" s="38" t="s">
        <v>278</v>
      </c>
      <c r="D74" s="38">
        <v>0</v>
      </c>
      <c r="E74" s="38">
        <v>1000</v>
      </c>
      <c r="F74" s="38">
        <v>1000</v>
      </c>
      <c r="G74" s="38">
        <v>1E+30</v>
      </c>
      <c r="H74" s="38">
        <v>1000</v>
      </c>
    </row>
    <row r="75" spans="2:8" x14ac:dyDescent="0.3">
      <c r="B75" s="38" t="s">
        <v>274</v>
      </c>
      <c r="C75" s="38" t="s">
        <v>280</v>
      </c>
      <c r="D75" s="38">
        <v>0</v>
      </c>
      <c r="E75" s="38">
        <v>1000</v>
      </c>
      <c r="F75" s="38">
        <v>1000</v>
      </c>
      <c r="G75" s="38">
        <v>1E+30</v>
      </c>
      <c r="H75" s="38">
        <v>1000</v>
      </c>
    </row>
    <row r="76" spans="2:8" x14ac:dyDescent="0.3">
      <c r="B76" s="38" t="s">
        <v>276</v>
      </c>
      <c r="C76" s="38" t="s">
        <v>282</v>
      </c>
      <c r="D76" s="38">
        <v>0</v>
      </c>
      <c r="E76" s="38">
        <v>1000</v>
      </c>
      <c r="F76" s="38">
        <v>1000</v>
      </c>
      <c r="G76" s="38">
        <v>1E+30</v>
      </c>
      <c r="H76" s="38">
        <v>1000</v>
      </c>
    </row>
    <row r="77" spans="2:8" x14ac:dyDescent="0.3">
      <c r="B77" s="38" t="s">
        <v>277</v>
      </c>
      <c r="C77" s="38" t="s">
        <v>284</v>
      </c>
      <c r="D77" s="38">
        <v>0</v>
      </c>
      <c r="E77" s="38">
        <v>1000</v>
      </c>
      <c r="F77" s="38">
        <v>1000</v>
      </c>
      <c r="G77" s="38">
        <v>1E+30</v>
      </c>
      <c r="H77" s="38">
        <v>1000</v>
      </c>
    </row>
    <row r="78" spans="2:8" x14ac:dyDescent="0.3">
      <c r="B78" s="38" t="s">
        <v>279</v>
      </c>
      <c r="C78" s="38" t="s">
        <v>269</v>
      </c>
      <c r="D78" s="38">
        <v>0</v>
      </c>
      <c r="E78" s="38">
        <v>3</v>
      </c>
      <c r="F78" s="38">
        <v>12</v>
      </c>
      <c r="G78" s="38">
        <v>1E+30</v>
      </c>
      <c r="H78" s="38">
        <v>3</v>
      </c>
    </row>
    <row r="79" spans="2:8" x14ac:dyDescent="0.3">
      <c r="B79" s="38" t="s">
        <v>281</v>
      </c>
      <c r="C79" s="38" t="s">
        <v>271</v>
      </c>
      <c r="D79" s="38">
        <v>0</v>
      </c>
      <c r="E79" s="38">
        <v>991</v>
      </c>
      <c r="F79" s="38">
        <v>1000</v>
      </c>
      <c r="G79" s="38">
        <v>1E+30</v>
      </c>
      <c r="H79" s="38">
        <v>991</v>
      </c>
    </row>
    <row r="80" spans="2:8" x14ac:dyDescent="0.3">
      <c r="B80" s="38" t="s">
        <v>283</v>
      </c>
      <c r="C80" s="38" t="s">
        <v>273</v>
      </c>
      <c r="D80" s="38">
        <v>0</v>
      </c>
      <c r="E80" s="38">
        <v>5</v>
      </c>
      <c r="F80" s="38">
        <v>15</v>
      </c>
      <c r="G80" s="38">
        <v>1E+30</v>
      </c>
      <c r="H80" s="38">
        <v>5</v>
      </c>
    </row>
    <row r="81" spans="1:8" x14ac:dyDescent="0.3">
      <c r="B81" s="38" t="s">
        <v>285</v>
      </c>
      <c r="C81" s="38" t="s">
        <v>292</v>
      </c>
      <c r="D81" s="38">
        <v>0</v>
      </c>
      <c r="E81" s="38">
        <v>1000</v>
      </c>
      <c r="F81" s="38">
        <v>1000</v>
      </c>
      <c r="G81" s="38">
        <v>1E+30</v>
      </c>
      <c r="H81" s="38">
        <v>1000</v>
      </c>
    </row>
    <row r="82" spans="1:8" x14ac:dyDescent="0.3">
      <c r="B82" s="38" t="s">
        <v>287</v>
      </c>
      <c r="C82" s="38" t="s">
        <v>339</v>
      </c>
      <c r="D82" s="38">
        <v>0</v>
      </c>
      <c r="E82" s="38">
        <v>1000</v>
      </c>
      <c r="F82" s="38">
        <v>1000</v>
      </c>
      <c r="G82" s="38">
        <v>1E+30</v>
      </c>
      <c r="H82" s="38">
        <v>1000</v>
      </c>
    </row>
    <row r="83" spans="1:8" x14ac:dyDescent="0.3">
      <c r="B83" s="38" t="s">
        <v>289</v>
      </c>
      <c r="C83" s="38" t="s">
        <v>295</v>
      </c>
      <c r="D83" s="38">
        <v>0</v>
      </c>
      <c r="E83" s="38">
        <v>1000</v>
      </c>
      <c r="F83" s="38">
        <v>1000</v>
      </c>
      <c r="G83" s="38">
        <v>1E+30</v>
      </c>
      <c r="H83" s="38">
        <v>1000</v>
      </c>
    </row>
    <row r="84" spans="1:8" x14ac:dyDescent="0.3">
      <c r="B84" s="38" t="s">
        <v>291</v>
      </c>
      <c r="C84" s="38" t="s">
        <v>297</v>
      </c>
      <c r="D84" s="38">
        <v>0</v>
      </c>
      <c r="E84" s="38">
        <v>1000</v>
      </c>
      <c r="F84" s="38">
        <v>1000</v>
      </c>
      <c r="G84" s="38">
        <v>1E+30</v>
      </c>
      <c r="H84" s="38">
        <v>1000</v>
      </c>
    </row>
    <row r="85" spans="1:8" x14ac:dyDescent="0.3">
      <c r="B85" s="38" t="s">
        <v>293</v>
      </c>
      <c r="C85" s="38" t="s">
        <v>299</v>
      </c>
      <c r="D85" s="38">
        <v>0</v>
      </c>
      <c r="E85" s="38">
        <v>1000</v>
      </c>
      <c r="F85" s="38">
        <v>1000</v>
      </c>
      <c r="G85" s="38">
        <v>1E+30</v>
      </c>
      <c r="H85" s="38">
        <v>1000</v>
      </c>
    </row>
    <row r="86" spans="1:8" x14ac:dyDescent="0.3">
      <c r="B86" s="38" t="s">
        <v>294</v>
      </c>
      <c r="C86" s="38" t="s">
        <v>301</v>
      </c>
      <c r="D86" s="38">
        <v>0</v>
      </c>
      <c r="E86" s="38">
        <v>1000</v>
      </c>
      <c r="F86" s="38">
        <v>1000</v>
      </c>
      <c r="G86" s="38">
        <v>1E+30</v>
      </c>
      <c r="H86" s="38">
        <v>1000</v>
      </c>
    </row>
    <row r="87" spans="1:8" x14ac:dyDescent="0.3">
      <c r="B87" s="38" t="s">
        <v>296</v>
      </c>
      <c r="C87" s="38" t="s">
        <v>286</v>
      </c>
      <c r="D87" s="38">
        <v>0</v>
      </c>
      <c r="E87" s="38">
        <v>1</v>
      </c>
      <c r="F87" s="38">
        <v>10</v>
      </c>
      <c r="G87" s="38">
        <v>1E+30</v>
      </c>
      <c r="H87" s="38">
        <v>1</v>
      </c>
    </row>
    <row r="88" spans="1:8" x14ac:dyDescent="0.3">
      <c r="B88" s="38" t="s">
        <v>298</v>
      </c>
      <c r="C88" s="38" t="s">
        <v>288</v>
      </c>
      <c r="D88" s="38">
        <v>0</v>
      </c>
      <c r="E88" s="38">
        <v>6</v>
      </c>
      <c r="F88" s="38">
        <v>15</v>
      </c>
      <c r="G88" s="38">
        <v>1E+30</v>
      </c>
      <c r="H88" s="38">
        <v>6</v>
      </c>
    </row>
    <row r="89" spans="1:8" ht="16.2" thickBot="1" x14ac:dyDescent="0.35">
      <c r="B89" s="39" t="s">
        <v>300</v>
      </c>
      <c r="C89" s="39" t="s">
        <v>290</v>
      </c>
      <c r="D89" s="39">
        <v>0</v>
      </c>
      <c r="E89" s="39">
        <v>990</v>
      </c>
      <c r="F89" s="39">
        <v>1000</v>
      </c>
      <c r="G89" s="39">
        <v>1E+30</v>
      </c>
      <c r="H89" s="39">
        <v>990</v>
      </c>
    </row>
    <row r="91" spans="1:8" ht="16.2" thickBot="1" x14ac:dyDescent="0.35">
      <c r="A91" t="s">
        <v>38</v>
      </c>
    </row>
    <row r="92" spans="1:8" x14ac:dyDescent="0.3">
      <c r="B92" s="40"/>
      <c r="C92" s="40"/>
      <c r="D92" s="40" t="s">
        <v>145</v>
      </c>
      <c r="E92" s="40" t="s">
        <v>153</v>
      </c>
      <c r="F92" s="40" t="s">
        <v>155</v>
      </c>
      <c r="G92" s="40" t="s">
        <v>150</v>
      </c>
      <c r="H92" s="40" t="s">
        <v>150</v>
      </c>
    </row>
    <row r="93" spans="1:8" ht="16.2" thickBot="1" x14ac:dyDescent="0.35">
      <c r="B93" s="41" t="s">
        <v>143</v>
      </c>
      <c r="C93" s="41" t="s">
        <v>144</v>
      </c>
      <c r="D93" s="41" t="s">
        <v>146</v>
      </c>
      <c r="E93" s="41" t="s">
        <v>154</v>
      </c>
      <c r="F93" s="41" t="s">
        <v>156</v>
      </c>
      <c r="G93" s="41" t="s">
        <v>151</v>
      </c>
      <c r="H93" s="41" t="s">
        <v>152</v>
      </c>
    </row>
    <row r="94" spans="1:8" x14ac:dyDescent="0.3">
      <c r="B94" s="38" t="s">
        <v>340</v>
      </c>
      <c r="C94" s="38" t="s">
        <v>341</v>
      </c>
      <c r="D94" s="38">
        <v>65</v>
      </c>
      <c r="E94" s="38">
        <v>9</v>
      </c>
      <c r="F94" s="38">
        <v>65</v>
      </c>
      <c r="G94" s="38">
        <v>45</v>
      </c>
      <c r="H94" s="38">
        <v>0</v>
      </c>
    </row>
    <row r="95" spans="1:8" x14ac:dyDescent="0.3">
      <c r="B95" s="38" t="s">
        <v>342</v>
      </c>
      <c r="C95" s="38" t="s">
        <v>343</v>
      </c>
      <c r="D95" s="38">
        <v>80</v>
      </c>
      <c r="E95" s="38">
        <v>9</v>
      </c>
      <c r="F95" s="38">
        <v>80</v>
      </c>
      <c r="G95" s="38">
        <v>8</v>
      </c>
      <c r="H95" s="38">
        <v>55</v>
      </c>
    </row>
    <row r="96" spans="1:8" x14ac:dyDescent="0.3">
      <c r="B96" s="38" t="s">
        <v>344</v>
      </c>
      <c r="C96" s="38" t="s">
        <v>345</v>
      </c>
      <c r="D96" s="38">
        <v>105</v>
      </c>
      <c r="E96" s="38">
        <v>10</v>
      </c>
      <c r="F96" s="38">
        <v>105</v>
      </c>
      <c r="G96" s="38">
        <v>1E+30</v>
      </c>
      <c r="H96" s="38">
        <v>55</v>
      </c>
    </row>
    <row r="97" spans="2:8" x14ac:dyDescent="0.3">
      <c r="B97" s="38" t="s">
        <v>302</v>
      </c>
      <c r="C97" s="38" t="s">
        <v>303</v>
      </c>
      <c r="D97" s="38">
        <v>45</v>
      </c>
      <c r="E97" s="38">
        <v>3</v>
      </c>
      <c r="F97" s="38">
        <v>45</v>
      </c>
      <c r="G97" s="38">
        <v>1E+30</v>
      </c>
      <c r="H97" s="38">
        <v>45</v>
      </c>
    </row>
    <row r="98" spans="2:8" x14ac:dyDescent="0.3">
      <c r="B98" s="38" t="s">
        <v>304</v>
      </c>
      <c r="C98" s="38" t="s">
        <v>346</v>
      </c>
      <c r="D98" s="38">
        <v>88</v>
      </c>
      <c r="E98" s="38">
        <v>0</v>
      </c>
      <c r="F98" s="38">
        <v>88</v>
      </c>
      <c r="G98" s="38">
        <v>55</v>
      </c>
      <c r="H98" s="38">
        <v>8</v>
      </c>
    </row>
    <row r="99" spans="2:8" x14ac:dyDescent="0.3">
      <c r="B99" s="38" t="s">
        <v>305</v>
      </c>
      <c r="C99" s="38" t="s">
        <v>306</v>
      </c>
      <c r="D99" s="38">
        <v>42</v>
      </c>
      <c r="E99" s="38">
        <v>1</v>
      </c>
      <c r="F99" s="38">
        <v>42</v>
      </c>
      <c r="G99" s="38">
        <v>55</v>
      </c>
      <c r="H99" s="38">
        <v>42</v>
      </c>
    </row>
    <row r="100" spans="2:8" x14ac:dyDescent="0.3">
      <c r="B100" s="38" t="s">
        <v>307</v>
      </c>
      <c r="C100" s="38" t="s">
        <v>308</v>
      </c>
      <c r="D100" s="38">
        <v>53</v>
      </c>
      <c r="E100" s="38">
        <v>3</v>
      </c>
      <c r="F100" s="38">
        <v>53</v>
      </c>
      <c r="G100" s="38">
        <v>1E+30</v>
      </c>
      <c r="H100" s="38">
        <v>53</v>
      </c>
    </row>
    <row r="101" spans="2:8" x14ac:dyDescent="0.3">
      <c r="B101" s="38" t="s">
        <v>309</v>
      </c>
      <c r="C101" s="38" t="s">
        <v>310</v>
      </c>
      <c r="D101" s="38">
        <v>65</v>
      </c>
      <c r="E101" s="38">
        <v>-2</v>
      </c>
      <c r="F101" s="38">
        <v>65</v>
      </c>
      <c r="G101" s="38">
        <v>0</v>
      </c>
      <c r="H101" s="38">
        <v>45</v>
      </c>
    </row>
    <row r="102" spans="2:8" ht="16.2" thickBot="1" x14ac:dyDescent="0.35">
      <c r="B102" s="39" t="s">
        <v>311</v>
      </c>
      <c r="C102" s="39" t="s">
        <v>312</v>
      </c>
      <c r="D102" s="39">
        <v>38</v>
      </c>
      <c r="E102" s="39">
        <v>4</v>
      </c>
      <c r="F102" s="39">
        <v>38</v>
      </c>
      <c r="G102" s="39">
        <v>1E+30</v>
      </c>
      <c r="H102" s="39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E1F2-0605-A84B-A962-BC9BCFE77675}">
  <dimension ref="A2:AD66"/>
  <sheetViews>
    <sheetView topLeftCell="K36" zoomScale="112" zoomScaleNormal="70" workbookViewId="0">
      <selection activeCell="N49" sqref="N49:P50"/>
    </sheetView>
  </sheetViews>
  <sheetFormatPr defaultColWidth="11.19921875" defaultRowHeight="15.6" x14ac:dyDescent="0.3"/>
  <cols>
    <col min="1" max="1" width="4.5" customWidth="1"/>
    <col min="2" max="4" width="15.796875" customWidth="1"/>
    <col min="5" max="5" width="20.19921875" customWidth="1"/>
    <col min="6" max="6" width="14.59765625" customWidth="1"/>
    <col min="7" max="7" width="15.59765625" customWidth="1"/>
    <col min="8" max="8" width="15.796875" customWidth="1"/>
    <col min="9" max="9" width="12.19921875" customWidth="1"/>
    <col min="12" max="12" width="5.59765625" customWidth="1"/>
    <col min="14" max="14" width="14.8984375" customWidth="1"/>
    <col min="17" max="17" width="13.19921875" customWidth="1"/>
    <col min="18" max="18" width="16.69921875" customWidth="1"/>
    <col min="19" max="19" width="13.69921875" customWidth="1"/>
    <col min="21" max="21" width="15.19921875" customWidth="1"/>
    <col min="28" max="28" width="18.19921875" customWidth="1"/>
  </cols>
  <sheetData>
    <row r="2" spans="2:20" ht="19.2" customHeight="1" x14ac:dyDescent="0.4">
      <c r="B2" s="103" t="s">
        <v>52</v>
      </c>
      <c r="C2" s="103"/>
      <c r="D2" s="103"/>
      <c r="E2" s="103"/>
      <c r="F2" s="103"/>
      <c r="G2" s="103"/>
    </row>
    <row r="3" spans="2:20" ht="19.2" customHeight="1" x14ac:dyDescent="0.3">
      <c r="B3" s="16"/>
      <c r="C3" s="16"/>
      <c r="D3" s="16"/>
      <c r="E3" s="16"/>
    </row>
    <row r="4" spans="2:20" ht="22.2" customHeight="1" x14ac:dyDescent="0.6">
      <c r="B4" s="96" t="s">
        <v>22</v>
      </c>
      <c r="C4" s="96"/>
      <c r="D4" s="96"/>
      <c r="E4" s="96"/>
      <c r="F4" s="5"/>
      <c r="G4" s="5"/>
      <c r="H4" s="6"/>
      <c r="I4" s="6"/>
      <c r="J4" s="6"/>
      <c r="K4" s="6"/>
      <c r="L4" s="6"/>
      <c r="M4" s="6"/>
    </row>
    <row r="5" spans="2:20" x14ac:dyDescent="0.3">
      <c r="B5" s="1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O5" s="101" t="s">
        <v>40</v>
      </c>
      <c r="P5" s="101"/>
      <c r="Q5" s="101"/>
      <c r="R5" s="15"/>
    </row>
    <row r="6" spans="2:20" x14ac:dyDescent="0.3">
      <c r="O6" s="101"/>
      <c r="P6" s="101"/>
      <c r="Q6" s="101"/>
      <c r="R6" s="15"/>
    </row>
    <row r="7" spans="2:20" x14ac:dyDescent="0.3">
      <c r="B7" s="109" t="s">
        <v>15</v>
      </c>
      <c r="C7" s="110"/>
      <c r="D7" s="110"/>
      <c r="E7" s="111"/>
      <c r="F7" s="6"/>
      <c r="G7" s="104" t="s">
        <v>38</v>
      </c>
      <c r="H7" s="105"/>
      <c r="I7" s="105"/>
      <c r="J7" s="105"/>
      <c r="K7" s="106"/>
      <c r="L7" s="18"/>
      <c r="O7" s="102"/>
      <c r="P7" s="102"/>
      <c r="Q7" s="102"/>
      <c r="R7" s="15"/>
    </row>
    <row r="8" spans="2:20" x14ac:dyDescent="0.3">
      <c r="B8" s="19"/>
      <c r="C8" s="10" t="s">
        <v>0</v>
      </c>
      <c r="D8" s="10" t="s">
        <v>1</v>
      </c>
      <c r="E8" s="10" t="s">
        <v>2</v>
      </c>
      <c r="F8" s="6"/>
      <c r="G8" s="107"/>
      <c r="H8" s="96"/>
      <c r="I8" s="96"/>
      <c r="J8" s="96"/>
      <c r="K8" s="108"/>
      <c r="L8" s="6"/>
      <c r="M8" s="118"/>
      <c r="N8" s="119"/>
      <c r="O8" s="14" t="s">
        <v>0</v>
      </c>
      <c r="P8" s="14" t="s">
        <v>1</v>
      </c>
      <c r="Q8" s="14" t="s">
        <v>2</v>
      </c>
      <c r="R8" s="14" t="s">
        <v>19</v>
      </c>
      <c r="S8" s="12" t="s">
        <v>49</v>
      </c>
      <c r="T8" s="13" t="s">
        <v>48</v>
      </c>
    </row>
    <row r="9" spans="2:20" ht="18" x14ac:dyDescent="0.4">
      <c r="B9" s="19" t="s">
        <v>3</v>
      </c>
      <c r="C9" s="10" t="s">
        <v>23</v>
      </c>
      <c r="D9" s="10" t="s">
        <v>16</v>
      </c>
      <c r="E9" s="10" t="s">
        <v>24</v>
      </c>
      <c r="F9" s="6"/>
      <c r="G9" s="120" t="s">
        <v>39</v>
      </c>
      <c r="H9" s="19" t="s">
        <v>3</v>
      </c>
      <c r="I9" s="10" t="s">
        <v>129</v>
      </c>
      <c r="J9" s="10" t="s">
        <v>41</v>
      </c>
      <c r="K9" s="10">
        <v>45</v>
      </c>
      <c r="L9" s="6"/>
      <c r="M9" s="97" t="s">
        <v>39</v>
      </c>
      <c r="N9" s="19" t="s">
        <v>3</v>
      </c>
      <c r="O9" s="10">
        <v>36</v>
      </c>
      <c r="P9" s="10">
        <v>9</v>
      </c>
      <c r="Q9" s="10">
        <v>0</v>
      </c>
      <c r="R9" s="10">
        <f>SUM(O9:Q9)</f>
        <v>45</v>
      </c>
      <c r="S9" s="10" t="s">
        <v>41</v>
      </c>
      <c r="T9" s="10">
        <v>45</v>
      </c>
    </row>
    <row r="10" spans="2:20" ht="18" x14ac:dyDescent="0.4">
      <c r="B10" s="19" t="s">
        <v>21</v>
      </c>
      <c r="C10" s="10" t="s">
        <v>25</v>
      </c>
      <c r="D10" s="10" t="s">
        <v>26</v>
      </c>
      <c r="E10" s="10" t="s">
        <v>27</v>
      </c>
      <c r="F10" s="6"/>
      <c r="G10" s="121"/>
      <c r="H10" s="19" t="s">
        <v>21</v>
      </c>
      <c r="I10" s="10" t="s">
        <v>130</v>
      </c>
      <c r="J10" s="10" t="s">
        <v>41</v>
      </c>
      <c r="K10" s="10">
        <v>26</v>
      </c>
      <c r="L10" s="6"/>
      <c r="M10" s="97"/>
      <c r="N10" s="19" t="s">
        <v>21</v>
      </c>
      <c r="O10" s="10">
        <v>0</v>
      </c>
      <c r="P10" s="10">
        <v>0</v>
      </c>
      <c r="Q10" s="10">
        <v>26</v>
      </c>
      <c r="R10" s="10">
        <f t="shared" ref="R10:R14" si="0">SUM(O10:Q10)</f>
        <v>26</v>
      </c>
      <c r="S10" s="10" t="s">
        <v>41</v>
      </c>
      <c r="T10" s="10">
        <v>26</v>
      </c>
    </row>
    <row r="11" spans="2:20" ht="18" x14ac:dyDescent="0.4">
      <c r="B11" s="19" t="s">
        <v>4</v>
      </c>
      <c r="C11" s="10" t="s">
        <v>28</v>
      </c>
      <c r="D11" s="10" t="s">
        <v>29</v>
      </c>
      <c r="E11" s="10" t="s">
        <v>30</v>
      </c>
      <c r="F11" s="6"/>
      <c r="G11" s="121"/>
      <c r="H11" s="19" t="s">
        <v>4</v>
      </c>
      <c r="I11" s="10" t="s">
        <v>131</v>
      </c>
      <c r="J11" s="10" t="s">
        <v>41</v>
      </c>
      <c r="K11" s="10">
        <v>42</v>
      </c>
      <c r="L11" s="6"/>
      <c r="M11" s="97"/>
      <c r="N11" s="19" t="s">
        <v>4</v>
      </c>
      <c r="O11" s="10">
        <v>0</v>
      </c>
      <c r="P11" s="10">
        <v>0</v>
      </c>
      <c r="Q11" s="10">
        <v>42</v>
      </c>
      <c r="R11" s="10">
        <f t="shared" si="0"/>
        <v>42</v>
      </c>
      <c r="S11" s="10" t="s">
        <v>41</v>
      </c>
      <c r="T11" s="10">
        <v>42</v>
      </c>
    </row>
    <row r="12" spans="2:20" ht="18" x14ac:dyDescent="0.4">
      <c r="B12" s="19" t="s">
        <v>5</v>
      </c>
      <c r="C12" s="10" t="s">
        <v>31</v>
      </c>
      <c r="D12" s="10" t="s">
        <v>17</v>
      </c>
      <c r="E12" s="10" t="s">
        <v>32</v>
      </c>
      <c r="F12" s="6"/>
      <c r="G12" s="121"/>
      <c r="H12" s="19" t="s">
        <v>5</v>
      </c>
      <c r="I12" s="10" t="s">
        <v>132</v>
      </c>
      <c r="J12" s="10" t="s">
        <v>41</v>
      </c>
      <c r="K12" s="10">
        <v>53</v>
      </c>
      <c r="L12" s="6"/>
      <c r="M12" s="97"/>
      <c r="N12" s="19" t="s">
        <v>5</v>
      </c>
      <c r="O12" s="10">
        <v>0</v>
      </c>
      <c r="P12" s="10">
        <v>53</v>
      </c>
      <c r="Q12" s="10">
        <v>0</v>
      </c>
      <c r="R12" s="10">
        <f t="shared" si="0"/>
        <v>53</v>
      </c>
      <c r="S12" s="10" t="s">
        <v>41</v>
      </c>
      <c r="T12" s="10">
        <v>53</v>
      </c>
    </row>
    <row r="13" spans="2:20" ht="18" x14ac:dyDescent="0.4">
      <c r="B13" s="19" t="s">
        <v>6</v>
      </c>
      <c r="C13" s="10" t="s">
        <v>33</v>
      </c>
      <c r="D13" s="10" t="s">
        <v>18</v>
      </c>
      <c r="E13" s="10" t="s">
        <v>34</v>
      </c>
      <c r="F13" s="6"/>
      <c r="G13" s="121"/>
      <c r="H13" s="19" t="s">
        <v>6</v>
      </c>
      <c r="I13" s="10" t="s">
        <v>133</v>
      </c>
      <c r="J13" s="10" t="s">
        <v>41</v>
      </c>
      <c r="K13" s="10">
        <v>29</v>
      </c>
      <c r="L13" s="6"/>
      <c r="M13" s="97"/>
      <c r="N13" s="19" t="s">
        <v>6</v>
      </c>
      <c r="O13" s="10">
        <v>29</v>
      </c>
      <c r="P13" s="10">
        <v>0</v>
      </c>
      <c r="Q13" s="10">
        <v>0</v>
      </c>
      <c r="R13" s="10">
        <f t="shared" si="0"/>
        <v>29</v>
      </c>
      <c r="S13" s="10" t="s">
        <v>41</v>
      </c>
      <c r="T13" s="10">
        <v>29</v>
      </c>
    </row>
    <row r="14" spans="2:20" ht="22.05" customHeight="1" x14ac:dyDescent="0.4">
      <c r="B14" s="19" t="s">
        <v>7</v>
      </c>
      <c r="C14" s="10" t="s">
        <v>35</v>
      </c>
      <c r="D14" s="10" t="s">
        <v>36</v>
      </c>
      <c r="E14" s="10" t="s">
        <v>37</v>
      </c>
      <c r="F14" s="6"/>
      <c r="G14" s="122"/>
      <c r="H14" s="19" t="s">
        <v>7</v>
      </c>
      <c r="I14" s="10" t="s">
        <v>134</v>
      </c>
      <c r="J14" s="10" t="s">
        <v>41</v>
      </c>
      <c r="K14" s="10">
        <v>38</v>
      </c>
      <c r="L14" s="6"/>
      <c r="M14" s="97"/>
      <c r="N14" s="19" t="s">
        <v>7</v>
      </c>
      <c r="O14" s="10">
        <v>0</v>
      </c>
      <c r="P14" s="10">
        <v>18</v>
      </c>
      <c r="Q14" s="10">
        <v>20</v>
      </c>
      <c r="R14" s="10">
        <f t="shared" si="0"/>
        <v>38</v>
      </c>
      <c r="S14" s="10" t="s">
        <v>41</v>
      </c>
      <c r="T14" s="10">
        <v>38</v>
      </c>
    </row>
    <row r="15" spans="2:20" x14ac:dyDescent="0.3">
      <c r="B15" s="17"/>
      <c r="C15" s="6"/>
      <c r="D15" s="6"/>
      <c r="E15" s="6"/>
      <c r="F15" s="6"/>
      <c r="G15" s="107"/>
      <c r="H15" s="96"/>
      <c r="I15" s="96"/>
      <c r="J15" s="96"/>
      <c r="K15" s="108"/>
      <c r="L15" s="6"/>
      <c r="M15" s="99" t="s">
        <v>47</v>
      </c>
      <c r="N15" s="99"/>
      <c r="O15" s="99"/>
      <c r="P15" s="99"/>
      <c r="Q15" s="99"/>
      <c r="R15" s="10">
        <f>SUM(R9:R14)</f>
        <v>233</v>
      </c>
      <c r="S15" s="10" t="s">
        <v>41</v>
      </c>
      <c r="T15" s="9">
        <f>SUM(T9:T14)</f>
        <v>233</v>
      </c>
    </row>
    <row r="16" spans="2:20" ht="18" x14ac:dyDescent="0.4">
      <c r="B16" s="109" t="s">
        <v>45</v>
      </c>
      <c r="C16" s="110"/>
      <c r="D16" s="110"/>
      <c r="E16" s="111"/>
      <c r="F16" s="6"/>
      <c r="G16" s="102" t="s">
        <v>40</v>
      </c>
      <c r="H16" s="19" t="s">
        <v>0</v>
      </c>
      <c r="I16" s="10" t="s">
        <v>135</v>
      </c>
      <c r="J16" s="10" t="s">
        <v>20</v>
      </c>
      <c r="K16" s="10">
        <v>65</v>
      </c>
      <c r="L16" s="6"/>
      <c r="M16" s="6"/>
      <c r="N16" s="20" t="s">
        <v>44</v>
      </c>
      <c r="O16" s="10">
        <f>SUM(O9:O14)</f>
        <v>65</v>
      </c>
      <c r="P16" s="10">
        <f t="shared" ref="P16:Q16" si="1">SUM(P9:P14)</f>
        <v>80</v>
      </c>
      <c r="Q16" s="10">
        <f t="shared" si="1"/>
        <v>88</v>
      </c>
      <c r="R16" s="6"/>
      <c r="S16" s="6"/>
      <c r="T16" s="6"/>
    </row>
    <row r="17" spans="1:30" ht="18" x14ac:dyDescent="0.4">
      <c r="B17" s="19"/>
      <c r="C17" s="10" t="s">
        <v>0</v>
      </c>
      <c r="D17" s="10" t="s">
        <v>1</v>
      </c>
      <c r="E17" s="10" t="s">
        <v>2</v>
      </c>
      <c r="F17" s="18"/>
      <c r="G17" s="123"/>
      <c r="H17" s="19" t="s">
        <v>1</v>
      </c>
      <c r="I17" s="10" t="s">
        <v>136</v>
      </c>
      <c r="J17" s="10" t="s">
        <v>20</v>
      </c>
      <c r="K17" s="10">
        <v>80</v>
      </c>
      <c r="L17" s="6"/>
      <c r="M17" s="6"/>
      <c r="N17" s="8" t="s">
        <v>50</v>
      </c>
      <c r="O17" s="10" t="s">
        <v>20</v>
      </c>
      <c r="P17" s="10" t="s">
        <v>20</v>
      </c>
      <c r="Q17" s="10" t="s">
        <v>20</v>
      </c>
      <c r="R17" s="5"/>
      <c r="S17" s="6"/>
      <c r="T17" s="6"/>
    </row>
    <row r="18" spans="1:30" ht="18.600000000000001" thickBot="1" x14ac:dyDescent="0.45">
      <c r="B18" s="19" t="s">
        <v>3</v>
      </c>
      <c r="C18" s="21">
        <v>12</v>
      </c>
      <c r="D18" s="21">
        <v>15</v>
      </c>
      <c r="E18" s="21">
        <v>17</v>
      </c>
      <c r="G18" s="124"/>
      <c r="H18" s="19" t="s">
        <v>2</v>
      </c>
      <c r="I18" s="10" t="s">
        <v>137</v>
      </c>
      <c r="J18" s="10" t="s">
        <v>20</v>
      </c>
      <c r="K18" s="10">
        <v>105</v>
      </c>
      <c r="M18" s="6"/>
      <c r="N18" s="11" t="s">
        <v>48</v>
      </c>
      <c r="O18" s="10">
        <v>65</v>
      </c>
      <c r="P18" s="10">
        <v>80</v>
      </c>
      <c r="Q18" s="10">
        <v>105</v>
      </c>
      <c r="R18" s="6"/>
      <c r="S18" s="6"/>
      <c r="T18" s="6"/>
    </row>
    <row r="19" spans="1:30" ht="15.6" customHeight="1" thickBot="1" x14ac:dyDescent="0.35">
      <c r="B19" s="19" t="s">
        <v>21</v>
      </c>
      <c r="C19" s="21">
        <v>14</v>
      </c>
      <c r="D19" s="21">
        <v>9</v>
      </c>
      <c r="E19" s="21">
        <v>10</v>
      </c>
      <c r="G19" s="112"/>
      <c r="H19" s="113"/>
      <c r="I19" s="113"/>
      <c r="J19" s="113"/>
      <c r="K19" s="114"/>
      <c r="M19" s="7"/>
      <c r="N19" s="7"/>
      <c r="O19" s="7"/>
      <c r="P19" s="7"/>
      <c r="Q19" s="7"/>
      <c r="R19" s="7"/>
      <c r="S19" s="7"/>
      <c r="T19" s="7"/>
    </row>
    <row r="20" spans="1:30" ht="18.600000000000001" thickBot="1" x14ac:dyDescent="0.45">
      <c r="B20" s="19" t="s">
        <v>4</v>
      </c>
      <c r="C20" s="21">
        <v>13</v>
      </c>
      <c r="D20" s="21">
        <v>20</v>
      </c>
      <c r="E20" s="21">
        <v>11</v>
      </c>
      <c r="F20" s="6"/>
      <c r="G20" s="10"/>
      <c r="H20" s="10" t="s">
        <v>42</v>
      </c>
      <c r="I20" s="10" t="s">
        <v>138</v>
      </c>
      <c r="J20" s="10" t="s">
        <v>43</v>
      </c>
      <c r="K20" s="10">
        <v>0</v>
      </c>
      <c r="L20" s="6"/>
      <c r="M20" s="6"/>
      <c r="N20" s="6"/>
      <c r="O20" s="7"/>
      <c r="P20" s="6"/>
      <c r="Q20" s="7"/>
      <c r="R20" s="7"/>
      <c r="S20" s="7"/>
      <c r="T20" s="7"/>
    </row>
    <row r="21" spans="1:30" ht="16.2" thickBot="1" x14ac:dyDescent="0.35">
      <c r="B21" s="19" t="s">
        <v>5</v>
      </c>
      <c r="C21" s="21">
        <v>17</v>
      </c>
      <c r="D21" s="21">
        <v>16</v>
      </c>
      <c r="E21" s="21">
        <v>19</v>
      </c>
      <c r="M21" s="100" t="s">
        <v>46</v>
      </c>
      <c r="N21" s="100"/>
      <c r="O21" s="98">
        <f>SUMPRODUCT(C18:E23,O9:Q14)</f>
        <v>2988</v>
      </c>
      <c r="P21" s="7"/>
      <c r="Q21" s="7"/>
      <c r="R21" s="7"/>
      <c r="S21" s="7"/>
      <c r="T21" s="7"/>
    </row>
    <row r="22" spans="1:30" ht="16.2" thickBot="1" x14ac:dyDescent="0.35">
      <c r="B22" s="19" t="s">
        <v>6</v>
      </c>
      <c r="C22" s="21">
        <v>7</v>
      </c>
      <c r="D22" s="21">
        <v>14</v>
      </c>
      <c r="E22" s="21">
        <v>12</v>
      </c>
      <c r="M22" s="100"/>
      <c r="N22" s="100"/>
      <c r="O22" s="98"/>
      <c r="P22" s="7"/>
      <c r="Q22" s="7"/>
      <c r="R22" s="7"/>
      <c r="S22" s="7"/>
      <c r="T22" s="7"/>
    </row>
    <row r="23" spans="1:30" ht="16.2" thickBot="1" x14ac:dyDescent="0.35">
      <c r="B23" s="19" t="s">
        <v>7</v>
      </c>
      <c r="C23" s="21">
        <v>22</v>
      </c>
      <c r="D23" s="21">
        <v>16</v>
      </c>
      <c r="E23" s="21">
        <v>18</v>
      </c>
      <c r="O23" s="7"/>
      <c r="P23" s="7"/>
    </row>
    <row r="24" spans="1:30" x14ac:dyDescent="0.3">
      <c r="C24" s="6"/>
      <c r="O24" s="7"/>
      <c r="P24" s="7"/>
    </row>
    <row r="25" spans="1:30" x14ac:dyDescent="0.3">
      <c r="A25" s="112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4"/>
    </row>
    <row r="26" spans="1:30" x14ac:dyDescent="0.3">
      <c r="A26" s="115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7"/>
    </row>
    <row r="27" spans="1:30" ht="21" x14ac:dyDescent="0.4">
      <c r="B27" s="103" t="s">
        <v>51</v>
      </c>
      <c r="C27" s="103"/>
      <c r="D27" s="103"/>
      <c r="E27" s="103"/>
      <c r="F27" s="103"/>
      <c r="G27" s="103"/>
    </row>
    <row r="28" spans="1:30" x14ac:dyDescent="0.3">
      <c r="C28" s="6"/>
      <c r="N28" s="93" t="s">
        <v>321</v>
      </c>
    </row>
    <row r="29" spans="1:30" ht="15.6" customHeight="1" x14ac:dyDescent="0.3">
      <c r="B29" s="99" t="s">
        <v>15</v>
      </c>
      <c r="C29" s="99"/>
      <c r="D29" s="99"/>
      <c r="E29" s="99"/>
      <c r="F29" s="99"/>
      <c r="G29" s="99"/>
      <c r="H29" s="99"/>
      <c r="I29" s="99"/>
      <c r="J29" s="99"/>
      <c r="K29" s="99"/>
      <c r="N29" s="93"/>
    </row>
    <row r="30" spans="1:30" ht="15.6" customHeight="1" x14ac:dyDescent="0.3">
      <c r="B30" s="19"/>
      <c r="C30" s="10" t="s">
        <v>0</v>
      </c>
      <c r="D30" s="10" t="s">
        <v>1</v>
      </c>
      <c r="E30" s="10" t="s">
        <v>2</v>
      </c>
      <c r="F30" s="19" t="s">
        <v>3</v>
      </c>
      <c r="G30" s="19" t="s">
        <v>21</v>
      </c>
      <c r="H30" s="19" t="s">
        <v>4</v>
      </c>
      <c r="I30" s="19" t="s">
        <v>5</v>
      </c>
      <c r="J30" s="19" t="s">
        <v>6</v>
      </c>
      <c r="K30" s="19" t="s">
        <v>7</v>
      </c>
      <c r="N30" s="94"/>
      <c r="O30" s="91" t="s">
        <v>315</v>
      </c>
      <c r="P30" s="91"/>
      <c r="Q30" s="91"/>
      <c r="R30" s="91"/>
      <c r="S30" s="91"/>
      <c r="T30" s="91"/>
      <c r="U30" s="91"/>
      <c r="V30" s="91"/>
      <c r="W30" s="91"/>
    </row>
    <row r="31" spans="1:30" ht="18" customHeight="1" x14ac:dyDescent="0.4">
      <c r="B31" s="19" t="s">
        <v>3</v>
      </c>
      <c r="C31" s="10" t="s">
        <v>23</v>
      </c>
      <c r="D31" s="10" t="s">
        <v>16</v>
      </c>
      <c r="E31" s="10" t="s">
        <v>54</v>
      </c>
      <c r="F31" s="10" t="s">
        <v>55</v>
      </c>
      <c r="G31" s="10" t="s">
        <v>24</v>
      </c>
      <c r="H31" s="10" t="s">
        <v>56</v>
      </c>
      <c r="I31" s="10" t="s">
        <v>57</v>
      </c>
      <c r="J31" s="10" t="s">
        <v>58</v>
      </c>
      <c r="K31" s="10" t="s">
        <v>59</v>
      </c>
      <c r="L31" s="7"/>
      <c r="M31" s="7"/>
      <c r="N31" s="34" t="s">
        <v>316</v>
      </c>
      <c r="O31" s="35" t="s">
        <v>3</v>
      </c>
      <c r="P31" s="35" t="s">
        <v>317</v>
      </c>
      <c r="Q31" s="35" t="s">
        <v>4</v>
      </c>
      <c r="R31" s="35" t="s">
        <v>5</v>
      </c>
      <c r="S31" s="35" t="s">
        <v>6</v>
      </c>
      <c r="T31" s="35" t="s">
        <v>7</v>
      </c>
      <c r="U31" s="35" t="s">
        <v>0</v>
      </c>
      <c r="V31" s="35" t="s">
        <v>1</v>
      </c>
      <c r="W31" s="35" t="s">
        <v>2</v>
      </c>
      <c r="X31" s="36" t="s">
        <v>139</v>
      </c>
      <c r="Y31" s="37" t="s">
        <v>49</v>
      </c>
      <c r="Z31" s="36" t="s">
        <v>48</v>
      </c>
      <c r="AA31" s="8"/>
      <c r="AB31" s="23"/>
      <c r="AC31" s="23"/>
      <c r="AD31" s="17"/>
    </row>
    <row r="32" spans="1:30" ht="18" x14ac:dyDescent="0.4">
      <c r="B32" s="19" t="s">
        <v>21</v>
      </c>
      <c r="C32" s="10" t="s">
        <v>25</v>
      </c>
      <c r="D32" s="10" t="s">
        <v>26</v>
      </c>
      <c r="E32" s="10" t="s">
        <v>60</v>
      </c>
      <c r="F32" s="10" t="s">
        <v>61</v>
      </c>
      <c r="G32" s="10" t="s">
        <v>27</v>
      </c>
      <c r="H32" s="10" t="s">
        <v>62</v>
      </c>
      <c r="I32" s="10" t="s">
        <v>63</v>
      </c>
      <c r="J32" s="10" t="s">
        <v>64</v>
      </c>
      <c r="K32" s="10" t="s">
        <v>65</v>
      </c>
      <c r="L32" s="7"/>
      <c r="M32" s="7"/>
      <c r="N32" s="35" t="s">
        <v>3</v>
      </c>
      <c r="O32" s="28">
        <v>0</v>
      </c>
      <c r="P32" s="28">
        <v>45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>
        <f>SUM(O32:W32)</f>
        <v>45</v>
      </c>
      <c r="Y32" s="17" t="s">
        <v>41</v>
      </c>
      <c r="Z32" s="29">
        <v>45</v>
      </c>
      <c r="AA32" s="7"/>
      <c r="AB32" s="7"/>
      <c r="AC32" s="7"/>
      <c r="AD32" s="6"/>
    </row>
    <row r="33" spans="2:30" ht="18" x14ac:dyDescent="0.4">
      <c r="B33" s="19" t="s">
        <v>4</v>
      </c>
      <c r="C33" s="10" t="s">
        <v>66</v>
      </c>
      <c r="D33" s="10" t="s">
        <v>67</v>
      </c>
      <c r="E33" s="10" t="s">
        <v>68</v>
      </c>
      <c r="F33" s="10" t="s">
        <v>69</v>
      </c>
      <c r="G33" s="10" t="s">
        <v>70</v>
      </c>
      <c r="H33" s="10" t="s">
        <v>71</v>
      </c>
      <c r="I33" s="10" t="s">
        <v>72</v>
      </c>
      <c r="J33" s="10" t="s">
        <v>73</v>
      </c>
      <c r="K33" s="10" t="s">
        <v>74</v>
      </c>
      <c r="N33" s="35" t="s">
        <v>317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80</v>
      </c>
      <c r="W33" s="28">
        <v>8</v>
      </c>
      <c r="X33">
        <f t="shared" ref="X33:X40" si="2">SUM(O33:W33)</f>
        <v>88</v>
      </c>
      <c r="Y33" s="17" t="s">
        <v>41</v>
      </c>
      <c r="Z33" s="29">
        <v>88</v>
      </c>
      <c r="AA33" s="7"/>
      <c r="AB33" s="7"/>
      <c r="AC33" s="7"/>
      <c r="AD33" s="6"/>
    </row>
    <row r="34" spans="2:30" ht="18" x14ac:dyDescent="0.4">
      <c r="B34" s="19" t="s">
        <v>5</v>
      </c>
      <c r="C34" s="10" t="s">
        <v>31</v>
      </c>
      <c r="D34" s="10" t="s">
        <v>17</v>
      </c>
      <c r="E34" s="10" t="s">
        <v>80</v>
      </c>
      <c r="F34" s="10" t="s">
        <v>79</v>
      </c>
      <c r="G34" s="10" t="s">
        <v>32</v>
      </c>
      <c r="H34" s="10" t="s">
        <v>78</v>
      </c>
      <c r="I34" s="10" t="s">
        <v>77</v>
      </c>
      <c r="J34" s="10" t="s">
        <v>76</v>
      </c>
      <c r="K34" s="10" t="s">
        <v>75</v>
      </c>
      <c r="N34" s="35" t="s">
        <v>4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42</v>
      </c>
      <c r="X34">
        <f t="shared" si="2"/>
        <v>42</v>
      </c>
      <c r="Y34" s="17" t="s">
        <v>41</v>
      </c>
      <c r="Z34" s="29">
        <v>42</v>
      </c>
      <c r="AA34" s="7"/>
      <c r="AB34" s="7"/>
      <c r="AC34" s="7"/>
      <c r="AD34" s="6"/>
    </row>
    <row r="35" spans="2:30" ht="18" x14ac:dyDescent="0.4">
      <c r="B35" s="19" t="s">
        <v>6</v>
      </c>
      <c r="C35" s="10" t="s">
        <v>33</v>
      </c>
      <c r="D35" s="10" t="s">
        <v>18</v>
      </c>
      <c r="E35" s="10" t="s">
        <v>81</v>
      </c>
      <c r="F35" s="10" t="s">
        <v>82</v>
      </c>
      <c r="G35" s="10" t="s">
        <v>34</v>
      </c>
      <c r="H35" s="10" t="s">
        <v>83</v>
      </c>
      <c r="I35" s="10" t="s">
        <v>84</v>
      </c>
      <c r="J35" s="10" t="s">
        <v>85</v>
      </c>
      <c r="K35" s="10" t="s">
        <v>86</v>
      </c>
      <c r="N35" s="35" t="s">
        <v>5</v>
      </c>
      <c r="O35" s="28">
        <v>0</v>
      </c>
      <c r="P35" s="28">
        <v>0</v>
      </c>
      <c r="Q35" s="28">
        <v>53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>
        <f t="shared" si="2"/>
        <v>53</v>
      </c>
      <c r="Y35" s="17" t="s">
        <v>41</v>
      </c>
      <c r="Z35" s="29">
        <v>53</v>
      </c>
      <c r="AA35" s="7"/>
      <c r="AB35" s="7"/>
      <c r="AC35" s="7"/>
      <c r="AD35" s="6"/>
    </row>
    <row r="36" spans="2:30" ht="18" x14ac:dyDescent="0.4">
      <c r="B36" s="19" t="s">
        <v>7</v>
      </c>
      <c r="C36" s="10" t="s">
        <v>35</v>
      </c>
      <c r="D36" s="10" t="s">
        <v>36</v>
      </c>
      <c r="E36" s="10" t="s">
        <v>92</v>
      </c>
      <c r="F36" s="10" t="s">
        <v>91</v>
      </c>
      <c r="G36" s="10" t="s">
        <v>37</v>
      </c>
      <c r="H36" s="10" t="s">
        <v>90</v>
      </c>
      <c r="I36" s="10" t="s">
        <v>89</v>
      </c>
      <c r="J36" s="10" t="s">
        <v>88</v>
      </c>
      <c r="K36" s="10" t="s">
        <v>87</v>
      </c>
      <c r="N36" s="35" t="s">
        <v>6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65</v>
      </c>
      <c r="V36" s="28">
        <v>0</v>
      </c>
      <c r="W36" s="28">
        <v>0</v>
      </c>
      <c r="X36">
        <f t="shared" si="2"/>
        <v>65</v>
      </c>
      <c r="Y36" s="17" t="s">
        <v>41</v>
      </c>
      <c r="Z36" s="29">
        <v>65</v>
      </c>
      <c r="AA36" s="7"/>
      <c r="AB36" s="7"/>
      <c r="AC36" s="7"/>
      <c r="AD36" s="6"/>
    </row>
    <row r="37" spans="2:30" ht="18" x14ac:dyDescent="0.4">
      <c r="B37" s="19" t="s">
        <v>0</v>
      </c>
      <c r="C37" s="10" t="s">
        <v>93</v>
      </c>
      <c r="D37" s="10" t="s">
        <v>94</v>
      </c>
      <c r="E37" s="10" t="s">
        <v>95</v>
      </c>
      <c r="F37" s="10" t="s">
        <v>96</v>
      </c>
      <c r="G37" s="10" t="s">
        <v>97</v>
      </c>
      <c r="H37" s="10" t="s">
        <v>98</v>
      </c>
      <c r="I37" s="10" t="s">
        <v>99</v>
      </c>
      <c r="J37" s="10" t="s">
        <v>100</v>
      </c>
      <c r="K37" s="10" t="s">
        <v>101</v>
      </c>
      <c r="N37" s="35" t="s">
        <v>7</v>
      </c>
      <c r="O37" s="28">
        <v>38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>
        <f t="shared" si="2"/>
        <v>38</v>
      </c>
      <c r="Y37" s="17" t="s">
        <v>41</v>
      </c>
      <c r="Z37" s="29">
        <v>38</v>
      </c>
      <c r="AA37" s="7"/>
      <c r="AB37" s="7"/>
      <c r="AC37" s="7"/>
      <c r="AD37" s="6"/>
    </row>
    <row r="38" spans="2:30" ht="18" x14ac:dyDescent="0.4">
      <c r="B38" s="19" t="s">
        <v>1</v>
      </c>
      <c r="C38" s="10" t="s">
        <v>102</v>
      </c>
      <c r="D38" s="10" t="s">
        <v>104</v>
      </c>
      <c r="E38" s="10" t="s">
        <v>106</v>
      </c>
      <c r="F38" s="10" t="s">
        <v>110</v>
      </c>
      <c r="G38" s="10" t="s">
        <v>111</v>
      </c>
      <c r="H38" s="10" t="s">
        <v>112</v>
      </c>
      <c r="I38" s="10" t="s">
        <v>113</v>
      </c>
      <c r="J38" s="10" t="s">
        <v>116</v>
      </c>
      <c r="K38" s="10" t="s">
        <v>117</v>
      </c>
      <c r="N38" s="35" t="s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55</v>
      </c>
      <c r="X38">
        <f t="shared" si="2"/>
        <v>55</v>
      </c>
      <c r="Y38" s="6"/>
      <c r="Z38" s="6"/>
      <c r="AB38" s="7"/>
      <c r="AC38" s="7"/>
      <c r="AD38" s="7"/>
    </row>
    <row r="39" spans="2:30" ht="18" x14ac:dyDescent="0.4">
      <c r="B39" s="19" t="s">
        <v>2</v>
      </c>
      <c r="C39" s="10" t="s">
        <v>103</v>
      </c>
      <c r="D39" s="10" t="s">
        <v>105</v>
      </c>
      <c r="E39" s="10" t="s">
        <v>107</v>
      </c>
      <c r="F39" s="10" t="s">
        <v>108</v>
      </c>
      <c r="G39" s="10" t="s">
        <v>109</v>
      </c>
      <c r="H39" s="10" t="s">
        <v>114</v>
      </c>
      <c r="I39" s="10" t="s">
        <v>115</v>
      </c>
      <c r="J39" s="10" t="s">
        <v>119</v>
      </c>
      <c r="K39" s="10" t="s">
        <v>118</v>
      </c>
      <c r="N39" s="35" t="s">
        <v>1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>
        <f t="shared" si="2"/>
        <v>0</v>
      </c>
      <c r="Y39" s="6"/>
      <c r="Z39" s="6"/>
      <c r="AB39" s="7"/>
      <c r="AC39" s="7"/>
      <c r="AD39" s="7"/>
    </row>
    <row r="40" spans="2:30" ht="17.399999999999999" x14ac:dyDescent="0.3">
      <c r="N40" s="35" t="s">
        <v>2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>
        <f t="shared" si="2"/>
        <v>0</v>
      </c>
      <c r="Y40" s="6"/>
      <c r="Z40" s="6"/>
      <c r="AB40" s="7"/>
      <c r="AC40" s="7"/>
      <c r="AD40" s="7"/>
    </row>
    <row r="41" spans="2:30" ht="34.799999999999997" x14ac:dyDescent="0.3">
      <c r="B41" s="26" t="s">
        <v>314</v>
      </c>
      <c r="C41" s="90" t="s">
        <v>315</v>
      </c>
      <c r="D41" s="90"/>
      <c r="E41" s="90"/>
      <c r="F41" s="90"/>
      <c r="G41" s="90"/>
      <c r="H41" s="90"/>
      <c r="I41" s="90"/>
      <c r="J41" s="90"/>
      <c r="K41" s="90"/>
      <c r="N41" s="33" t="s">
        <v>318</v>
      </c>
      <c r="O41" s="92"/>
      <c r="P41" s="92"/>
      <c r="Q41" s="92"/>
      <c r="R41" s="92"/>
      <c r="S41" s="92"/>
      <c r="T41" s="92"/>
      <c r="U41" s="32">
        <f>SUM(U32:U40)</f>
        <v>65</v>
      </c>
      <c r="V41" s="32">
        <f>SUM(V32:V40)</f>
        <v>80</v>
      </c>
      <c r="W41" s="32">
        <f>SUM(W32:W40)</f>
        <v>105</v>
      </c>
    </row>
    <row r="42" spans="2:30" ht="17.399999999999999" x14ac:dyDescent="0.3">
      <c r="B42" s="34" t="s">
        <v>316</v>
      </c>
      <c r="C42" s="35" t="s">
        <v>3</v>
      </c>
      <c r="D42" s="35" t="s">
        <v>317</v>
      </c>
      <c r="E42" s="35" t="s">
        <v>4</v>
      </c>
      <c r="F42" s="35" t="s">
        <v>5</v>
      </c>
      <c r="G42" s="35" t="s">
        <v>6</v>
      </c>
      <c r="H42" s="35" t="s">
        <v>7</v>
      </c>
      <c r="I42" s="35" t="s">
        <v>0</v>
      </c>
      <c r="J42" s="35" t="s">
        <v>1</v>
      </c>
      <c r="K42" s="35" t="s">
        <v>2</v>
      </c>
      <c r="N42" s="31" t="s">
        <v>319</v>
      </c>
      <c r="O42" s="30">
        <f>SUM(O32:O40)</f>
        <v>38</v>
      </c>
      <c r="P42" s="30">
        <f t="shared" ref="P42:R42" si="3">SUM(P32:P40)</f>
        <v>45</v>
      </c>
      <c r="Q42" s="30">
        <f>SUM(Q32:Q40)</f>
        <v>53</v>
      </c>
      <c r="R42" s="30">
        <f t="shared" si="3"/>
        <v>0</v>
      </c>
      <c r="S42" s="30">
        <f>SUM(S32:S40)</f>
        <v>0</v>
      </c>
      <c r="T42" s="30">
        <f>SUM(T32:T40)</f>
        <v>0</v>
      </c>
      <c r="U42" s="29" t="s">
        <v>41</v>
      </c>
      <c r="V42" s="29" t="s">
        <v>41</v>
      </c>
      <c r="W42" s="29" t="s">
        <v>41</v>
      </c>
    </row>
    <row r="43" spans="2:30" ht="17.399999999999999" x14ac:dyDescent="0.3">
      <c r="B43" s="35" t="s">
        <v>3</v>
      </c>
      <c r="C43" s="27">
        <v>1000</v>
      </c>
      <c r="D43" s="28">
        <v>3</v>
      </c>
      <c r="E43" s="28">
        <v>4</v>
      </c>
      <c r="F43" s="28">
        <v>9</v>
      </c>
      <c r="G43" s="28">
        <v>5</v>
      </c>
      <c r="H43" s="28">
        <v>4</v>
      </c>
      <c r="I43" s="28">
        <v>12</v>
      </c>
      <c r="J43" s="28">
        <v>15</v>
      </c>
      <c r="K43" s="28">
        <v>17</v>
      </c>
      <c r="N43" s="33" t="s">
        <v>155</v>
      </c>
      <c r="O43" s="92"/>
      <c r="P43" s="92"/>
      <c r="Q43" s="92"/>
      <c r="R43" s="92"/>
      <c r="S43" s="92"/>
      <c r="T43" s="92"/>
      <c r="U43" s="29">
        <v>65</v>
      </c>
      <c r="V43" s="29">
        <v>80</v>
      </c>
      <c r="W43" s="29">
        <v>105</v>
      </c>
    </row>
    <row r="44" spans="2:30" ht="17.399999999999999" x14ac:dyDescent="0.3">
      <c r="B44" s="35" t="s">
        <v>317</v>
      </c>
      <c r="C44" s="28">
        <v>6</v>
      </c>
      <c r="D44" s="27">
        <v>1000</v>
      </c>
      <c r="E44" s="28">
        <v>7</v>
      </c>
      <c r="F44" s="28">
        <v>6</v>
      </c>
      <c r="G44" s="28">
        <v>9</v>
      </c>
      <c r="H44" s="28">
        <v>4</v>
      </c>
      <c r="I44" s="28">
        <v>14</v>
      </c>
      <c r="J44" s="28">
        <v>9</v>
      </c>
      <c r="K44" s="28">
        <v>10</v>
      </c>
      <c r="N44" s="17"/>
      <c r="O44" s="7"/>
      <c r="P44" s="7"/>
      <c r="Q44" s="7"/>
      <c r="R44" s="7"/>
      <c r="S44" s="7"/>
      <c r="T44" s="7"/>
      <c r="U44" s="7"/>
      <c r="V44" s="7"/>
      <c r="W44" s="7"/>
    </row>
    <row r="45" spans="2:30" ht="17.399999999999999" x14ac:dyDescent="0.3">
      <c r="B45" s="35" t="s">
        <v>4</v>
      </c>
      <c r="C45" s="28">
        <v>5</v>
      </c>
      <c r="D45" s="28">
        <v>7</v>
      </c>
      <c r="E45" s="27">
        <v>1000</v>
      </c>
      <c r="F45" s="28">
        <v>3</v>
      </c>
      <c r="G45" s="28">
        <v>4</v>
      </c>
      <c r="H45" s="28">
        <v>9</v>
      </c>
      <c r="I45" s="28">
        <v>13</v>
      </c>
      <c r="J45" s="28">
        <v>20</v>
      </c>
      <c r="K45" s="28">
        <v>11</v>
      </c>
    </row>
    <row r="46" spans="2:30" ht="17.399999999999999" x14ac:dyDescent="0.3">
      <c r="B46" s="35" t="s">
        <v>5</v>
      </c>
      <c r="C46" s="28">
        <v>5</v>
      </c>
      <c r="D46" s="28">
        <v>4</v>
      </c>
      <c r="E46" s="28">
        <v>3</v>
      </c>
      <c r="F46" s="27">
        <v>1000</v>
      </c>
      <c r="G46" s="28">
        <v>3</v>
      </c>
      <c r="H46" s="28">
        <v>11</v>
      </c>
      <c r="I46" s="28">
        <v>17</v>
      </c>
      <c r="J46" s="28">
        <v>16</v>
      </c>
      <c r="K46" s="28">
        <v>19</v>
      </c>
      <c r="N46" s="89"/>
      <c r="O46" s="7"/>
      <c r="P46" s="7"/>
      <c r="Q46" s="7"/>
    </row>
    <row r="47" spans="2:30" ht="17.399999999999999" x14ac:dyDescent="0.3">
      <c r="B47" s="35" t="s">
        <v>6</v>
      </c>
      <c r="C47" s="28">
        <v>5</v>
      </c>
      <c r="D47" s="28">
        <v>9</v>
      </c>
      <c r="E47" s="28">
        <v>5</v>
      </c>
      <c r="F47" s="28">
        <v>3</v>
      </c>
      <c r="G47" s="27">
        <v>1000</v>
      </c>
      <c r="H47" s="28">
        <v>14</v>
      </c>
      <c r="I47" s="28">
        <v>7</v>
      </c>
      <c r="J47" s="28">
        <v>14</v>
      </c>
      <c r="K47" s="28">
        <v>12</v>
      </c>
      <c r="N47" s="89"/>
    </row>
    <row r="48" spans="2:30" ht="17.399999999999999" x14ac:dyDescent="0.3">
      <c r="B48" s="35" t="s">
        <v>7</v>
      </c>
      <c r="C48" s="28">
        <v>4</v>
      </c>
      <c r="D48" s="28">
        <v>7</v>
      </c>
      <c r="E48" s="28">
        <v>11</v>
      </c>
      <c r="F48" s="28">
        <v>12</v>
      </c>
      <c r="G48" s="28">
        <v>8</v>
      </c>
      <c r="H48" s="27">
        <v>1000</v>
      </c>
      <c r="I48" s="28">
        <v>22</v>
      </c>
      <c r="J48" s="28">
        <v>16</v>
      </c>
      <c r="K48" s="28">
        <v>18</v>
      </c>
      <c r="N48" s="17"/>
      <c r="O48" s="7"/>
      <c r="P48" s="7"/>
      <c r="Q48" s="7"/>
    </row>
    <row r="49" spans="2:16" ht="17.399999999999999" x14ac:dyDescent="0.3">
      <c r="B49" s="35" t="s">
        <v>0</v>
      </c>
      <c r="C49" s="27">
        <v>1000</v>
      </c>
      <c r="D49" s="27">
        <v>1000</v>
      </c>
      <c r="E49" s="27">
        <v>1000</v>
      </c>
      <c r="F49" s="27">
        <v>1000</v>
      </c>
      <c r="G49" s="27">
        <v>1000</v>
      </c>
      <c r="H49" s="27">
        <v>1000</v>
      </c>
      <c r="I49" s="27">
        <v>1000</v>
      </c>
      <c r="J49" s="28">
        <v>12</v>
      </c>
      <c r="K49" s="28">
        <v>10</v>
      </c>
      <c r="N49" s="100" t="s">
        <v>320</v>
      </c>
      <c r="O49" s="100"/>
      <c r="P49" s="87">
        <f>SUMPRODUCT(C43:K51,O32:W40)</f>
        <v>2713</v>
      </c>
    </row>
    <row r="50" spans="2:16" ht="17.399999999999999" x14ac:dyDescent="0.3">
      <c r="B50" s="35" t="s">
        <v>1</v>
      </c>
      <c r="C50" s="27">
        <v>1000</v>
      </c>
      <c r="D50" s="27">
        <v>1000</v>
      </c>
      <c r="E50" s="27">
        <v>1000</v>
      </c>
      <c r="F50" s="27">
        <v>1000</v>
      </c>
      <c r="G50" s="27">
        <v>1000</v>
      </c>
      <c r="H50" s="27">
        <v>1000</v>
      </c>
      <c r="I50" s="28">
        <v>12</v>
      </c>
      <c r="J50" s="27">
        <v>1000</v>
      </c>
      <c r="K50" s="28">
        <v>15</v>
      </c>
      <c r="N50" s="100"/>
      <c r="O50" s="100"/>
      <c r="P50" s="88"/>
    </row>
    <row r="51" spans="2:16" ht="17.399999999999999" x14ac:dyDescent="0.3">
      <c r="B51" s="35" t="s">
        <v>2</v>
      </c>
      <c r="C51" s="27">
        <v>1000</v>
      </c>
      <c r="D51" s="27">
        <v>1000</v>
      </c>
      <c r="E51" s="27">
        <v>1000</v>
      </c>
      <c r="F51" s="27">
        <v>1000</v>
      </c>
      <c r="G51" s="27">
        <v>1000</v>
      </c>
      <c r="H51" s="27">
        <v>1000</v>
      </c>
      <c r="I51" s="28">
        <v>10</v>
      </c>
      <c r="J51" s="28">
        <v>15</v>
      </c>
      <c r="K51" s="27">
        <v>1000</v>
      </c>
    </row>
    <row r="52" spans="2:16" x14ac:dyDescent="0.3">
      <c r="B52" s="19"/>
      <c r="C52" s="22"/>
      <c r="D52" s="22"/>
      <c r="E52" s="22"/>
      <c r="F52" s="22"/>
      <c r="G52" s="22"/>
      <c r="H52" s="22"/>
      <c r="I52" s="22"/>
      <c r="J52" s="22"/>
      <c r="K52" s="22"/>
    </row>
    <row r="54" spans="2:16" x14ac:dyDescent="0.3">
      <c r="B54" s="95" t="s">
        <v>38</v>
      </c>
      <c r="C54" s="95"/>
      <c r="D54" s="95"/>
      <c r="E54" s="95"/>
      <c r="F54" s="95"/>
      <c r="G54" s="95"/>
      <c r="H54" s="95"/>
      <c r="I54" s="95"/>
      <c r="J54" s="95"/>
    </row>
    <row r="55" spans="2:16" ht="18" x14ac:dyDescent="0.4">
      <c r="B55" s="97" t="s">
        <v>39</v>
      </c>
      <c r="C55" s="19" t="s">
        <v>3</v>
      </c>
      <c r="D55" s="125" t="s">
        <v>120</v>
      </c>
      <c r="E55" s="125"/>
      <c r="F55" s="125"/>
      <c r="G55" s="125"/>
      <c r="H55" s="125"/>
      <c r="I55" s="10" t="s">
        <v>41</v>
      </c>
      <c r="J55" s="10">
        <v>45</v>
      </c>
    </row>
    <row r="56" spans="2:16" ht="18" x14ac:dyDescent="0.4">
      <c r="B56" s="97"/>
      <c r="C56" s="19" t="s">
        <v>21</v>
      </c>
      <c r="D56" s="99" t="s">
        <v>121</v>
      </c>
      <c r="E56" s="99"/>
      <c r="F56" s="99"/>
      <c r="G56" s="99"/>
      <c r="H56" s="99"/>
      <c r="I56" s="10" t="s">
        <v>41</v>
      </c>
      <c r="J56" s="10">
        <v>26</v>
      </c>
      <c r="K56" s="6"/>
      <c r="L56" s="6"/>
    </row>
    <row r="57" spans="2:16" ht="18" x14ac:dyDescent="0.4">
      <c r="B57" s="97"/>
      <c r="C57" s="19" t="s">
        <v>4</v>
      </c>
      <c r="D57" s="125" t="s">
        <v>122</v>
      </c>
      <c r="E57" s="125"/>
      <c r="F57" s="125"/>
      <c r="G57" s="125"/>
      <c r="H57" s="125"/>
      <c r="I57" s="10" t="s">
        <v>41</v>
      </c>
      <c r="J57" s="10">
        <v>42</v>
      </c>
    </row>
    <row r="58" spans="2:16" ht="18" x14ac:dyDescent="0.4">
      <c r="B58" s="97"/>
      <c r="C58" s="19" t="s">
        <v>5</v>
      </c>
      <c r="D58" s="125" t="s">
        <v>123</v>
      </c>
      <c r="E58" s="125"/>
      <c r="F58" s="125"/>
      <c r="G58" s="125"/>
      <c r="H58" s="125"/>
      <c r="I58" s="10" t="s">
        <v>41</v>
      </c>
      <c r="J58" s="10">
        <v>53</v>
      </c>
    </row>
    <row r="59" spans="2:16" ht="18" x14ac:dyDescent="0.4">
      <c r="B59" s="97"/>
      <c r="C59" s="19" t="s">
        <v>6</v>
      </c>
      <c r="D59" s="125" t="s">
        <v>124</v>
      </c>
      <c r="E59" s="125"/>
      <c r="F59" s="125"/>
      <c r="G59" s="125"/>
      <c r="H59" s="125"/>
      <c r="I59" s="10" t="s">
        <v>41</v>
      </c>
      <c r="J59" s="10">
        <v>29</v>
      </c>
    </row>
    <row r="60" spans="2:16" ht="18" x14ac:dyDescent="0.4">
      <c r="B60" s="97"/>
      <c r="C60" s="19" t="s">
        <v>7</v>
      </c>
      <c r="D60" s="125" t="s">
        <v>125</v>
      </c>
      <c r="E60" s="125"/>
      <c r="F60" s="125"/>
      <c r="G60" s="125"/>
      <c r="H60" s="125"/>
      <c r="I60" s="10" t="s">
        <v>41</v>
      </c>
      <c r="J60" s="10">
        <v>38</v>
      </c>
    </row>
    <row r="61" spans="2:16" x14ac:dyDescent="0.3">
      <c r="B61" s="125"/>
      <c r="C61" s="125"/>
      <c r="D61" s="125"/>
      <c r="E61" s="125"/>
      <c r="F61" s="125"/>
      <c r="G61" s="125"/>
      <c r="H61" s="125"/>
      <c r="I61" s="125"/>
      <c r="J61" s="125"/>
    </row>
    <row r="62" spans="2:16" ht="18" x14ac:dyDescent="0.4">
      <c r="B62" s="101" t="s">
        <v>40</v>
      </c>
      <c r="C62" s="19" t="s">
        <v>0</v>
      </c>
      <c r="D62" s="125" t="s">
        <v>126</v>
      </c>
      <c r="E62" s="125"/>
      <c r="F62" s="125"/>
      <c r="G62" s="125"/>
      <c r="H62" s="125"/>
      <c r="I62" s="10" t="s">
        <v>41</v>
      </c>
      <c r="J62" s="10">
        <v>65</v>
      </c>
    </row>
    <row r="63" spans="2:16" ht="18" x14ac:dyDescent="0.4">
      <c r="B63" s="101"/>
      <c r="C63" s="19" t="s">
        <v>1</v>
      </c>
      <c r="D63" s="125" t="s">
        <v>127</v>
      </c>
      <c r="E63" s="125"/>
      <c r="F63" s="125"/>
      <c r="G63" s="125"/>
      <c r="H63" s="125"/>
      <c r="I63" s="10" t="s">
        <v>41</v>
      </c>
      <c r="J63" s="10">
        <v>80</v>
      </c>
    </row>
    <row r="64" spans="2:16" ht="18" x14ac:dyDescent="0.4">
      <c r="B64" s="101"/>
      <c r="C64" s="19" t="s">
        <v>2</v>
      </c>
      <c r="D64" s="125" t="s">
        <v>128</v>
      </c>
      <c r="E64" s="125"/>
      <c r="F64" s="125"/>
      <c r="G64" s="125"/>
      <c r="H64" s="125"/>
      <c r="I64" s="10" t="s">
        <v>41</v>
      </c>
      <c r="J64" s="10">
        <v>105</v>
      </c>
    </row>
    <row r="65" spans="2:10" x14ac:dyDescent="0.3">
      <c r="B65" s="125"/>
      <c r="C65" s="125"/>
      <c r="D65" s="125"/>
      <c r="E65" s="125"/>
      <c r="F65" s="125"/>
      <c r="G65" s="125"/>
      <c r="H65" s="125"/>
      <c r="I65" s="125"/>
      <c r="J65" s="125"/>
    </row>
    <row r="66" spans="2:10" ht="18" x14ac:dyDescent="0.4">
      <c r="B66" s="10"/>
      <c r="C66" s="10" t="s">
        <v>42</v>
      </c>
      <c r="D66" s="99" t="s">
        <v>138</v>
      </c>
      <c r="E66" s="99"/>
      <c r="F66" s="99"/>
      <c r="G66" s="99"/>
      <c r="H66" s="99"/>
      <c r="I66" s="10" t="s">
        <v>43</v>
      </c>
      <c r="J66" s="10">
        <v>0</v>
      </c>
    </row>
  </sheetData>
  <mergeCells count="42">
    <mergeCell ref="D66:H66"/>
    <mergeCell ref="B61:J61"/>
    <mergeCell ref="B65:J65"/>
    <mergeCell ref="B62:B64"/>
    <mergeCell ref="D62:H62"/>
    <mergeCell ref="D63:H63"/>
    <mergeCell ref="D64:H64"/>
    <mergeCell ref="B55:B60"/>
    <mergeCell ref="D55:H55"/>
    <mergeCell ref="D56:H56"/>
    <mergeCell ref="D57:H57"/>
    <mergeCell ref="D58:H58"/>
    <mergeCell ref="D59:H59"/>
    <mergeCell ref="D60:H60"/>
    <mergeCell ref="B2:G2"/>
    <mergeCell ref="B27:G27"/>
    <mergeCell ref="G7:K7"/>
    <mergeCell ref="G15:K15"/>
    <mergeCell ref="G8:K8"/>
    <mergeCell ref="B16:E16"/>
    <mergeCell ref="A25:T26"/>
    <mergeCell ref="B7:E7"/>
    <mergeCell ref="M8:N8"/>
    <mergeCell ref="M15:Q15"/>
    <mergeCell ref="G19:K19"/>
    <mergeCell ref="G9:G14"/>
    <mergeCell ref="G16:G18"/>
    <mergeCell ref="M21:N22"/>
    <mergeCell ref="B54:J54"/>
    <mergeCell ref="B4:E4"/>
    <mergeCell ref="M9:M14"/>
    <mergeCell ref="O21:O22"/>
    <mergeCell ref="B29:K29"/>
    <mergeCell ref="N49:O50"/>
    <mergeCell ref="O5:Q7"/>
    <mergeCell ref="P49:P50"/>
    <mergeCell ref="N46:N47"/>
    <mergeCell ref="C41:K41"/>
    <mergeCell ref="O30:W30"/>
    <mergeCell ref="O41:T41"/>
    <mergeCell ref="O43:T43"/>
    <mergeCell ref="N28:N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6FD9-9491-024D-8CA4-AD470BFBFFE2}">
  <dimension ref="B4:AD66"/>
  <sheetViews>
    <sheetView tabSelected="1" topLeftCell="H8" zoomScale="103" workbookViewId="0">
      <selection activeCell="J14" sqref="J14:R15"/>
    </sheetView>
  </sheetViews>
  <sheetFormatPr defaultColWidth="11.19921875" defaultRowHeight="15.6" x14ac:dyDescent="0.3"/>
  <cols>
    <col min="2" max="2" width="20" customWidth="1"/>
    <col min="3" max="3" width="22" customWidth="1"/>
    <col min="5" max="5" width="32.8984375" customWidth="1"/>
    <col min="6" max="8" width="16.19921875" customWidth="1"/>
    <col min="9" max="9" width="8.5" customWidth="1"/>
    <col min="10" max="10" width="27.19921875" customWidth="1"/>
    <col min="11" max="11" width="16.19921875" customWidth="1"/>
    <col min="14" max="14" width="22.8984375" customWidth="1"/>
  </cols>
  <sheetData>
    <row r="4" spans="2:30" ht="16.2" thickBot="1" x14ac:dyDescent="0.35"/>
    <row r="5" spans="2:30" ht="19.2" thickTop="1" thickBot="1" x14ac:dyDescent="0.55000000000000004">
      <c r="B5" s="1"/>
      <c r="C5" s="2" t="s">
        <v>8</v>
      </c>
      <c r="E5" s="60" t="s">
        <v>347</v>
      </c>
      <c r="F5" s="60" t="s">
        <v>348</v>
      </c>
      <c r="G5" s="65" t="s">
        <v>349</v>
      </c>
      <c r="H5" s="50"/>
      <c r="I5" s="50"/>
      <c r="J5" s="76"/>
      <c r="K5" s="84">
        <v>0.1</v>
      </c>
      <c r="L5" s="85">
        <v>0.105</v>
      </c>
      <c r="M5" s="85">
        <v>0.11</v>
      </c>
      <c r="N5" s="85">
        <v>0.115</v>
      </c>
      <c r="O5" s="85">
        <v>0.12</v>
      </c>
      <c r="P5" s="85">
        <v>0.125</v>
      </c>
      <c r="Q5" s="85">
        <v>0.13</v>
      </c>
      <c r="R5" s="86">
        <v>0.13500000000000001</v>
      </c>
      <c r="S5" s="51"/>
      <c r="T5" s="51"/>
      <c r="U5" s="51"/>
      <c r="W5" s="42"/>
      <c r="X5" s="51"/>
      <c r="Y5" s="50"/>
      <c r="Z5" s="50"/>
      <c r="AA5" s="50"/>
      <c r="AB5" s="50"/>
      <c r="AC5" s="50"/>
      <c r="AD5" s="25"/>
    </row>
    <row r="6" spans="2:30" ht="19.2" thickTop="1" thickBot="1" x14ac:dyDescent="0.35">
      <c r="B6" s="3" t="s">
        <v>9</v>
      </c>
      <c r="C6" s="4">
        <v>7.0000000000000007E-2</v>
      </c>
      <c r="E6" s="61" t="s">
        <v>9</v>
      </c>
      <c r="F6" s="67">
        <v>0.21745663079302419</v>
      </c>
      <c r="G6" s="62">
        <f>F6*$G$12</f>
        <v>2174.5663079302417</v>
      </c>
      <c r="H6" s="50"/>
      <c r="I6" s="50"/>
      <c r="J6" s="75" t="s">
        <v>9</v>
      </c>
      <c r="K6" s="79">
        <v>0.37456309144125516</v>
      </c>
      <c r="L6" s="79">
        <v>0.16041995655368341</v>
      </c>
      <c r="M6" s="82">
        <v>0.16041995655368341</v>
      </c>
      <c r="N6" s="83">
        <v>0.16041995655368341</v>
      </c>
      <c r="O6" s="80">
        <v>0.16666683333333332</v>
      </c>
      <c r="P6" s="80">
        <v>0</v>
      </c>
      <c r="Q6" s="80">
        <v>0</v>
      </c>
      <c r="R6" s="80">
        <v>0</v>
      </c>
      <c r="S6" s="51"/>
      <c r="T6" s="51"/>
      <c r="U6" s="51"/>
      <c r="W6" s="43"/>
      <c r="X6" s="51"/>
      <c r="Y6" s="50"/>
      <c r="Z6" s="50"/>
      <c r="AA6" s="50"/>
      <c r="AB6" s="50"/>
      <c r="AC6" s="50"/>
      <c r="AD6" s="25"/>
    </row>
    <row r="7" spans="2:30" ht="16.2" thickBot="1" x14ac:dyDescent="0.35">
      <c r="B7" s="3" t="s">
        <v>10</v>
      </c>
      <c r="C7" s="4">
        <v>0.12</v>
      </c>
      <c r="E7" s="61" t="s">
        <v>10</v>
      </c>
      <c r="F7" s="67">
        <v>0.11527285274147984</v>
      </c>
      <c r="G7" s="62">
        <f t="shared" ref="G7:G11" si="0">F7*$G$12</f>
        <v>1152.7285274147985</v>
      </c>
      <c r="H7" s="24"/>
      <c r="I7" s="24"/>
      <c r="J7" s="73" t="s">
        <v>10</v>
      </c>
      <c r="K7" s="81">
        <v>0.12508758426453404</v>
      </c>
      <c r="L7" s="81">
        <v>0.1679162086892633</v>
      </c>
      <c r="M7" s="82">
        <v>0.1679162086892633</v>
      </c>
      <c r="N7" s="80">
        <v>0.1679162086892633</v>
      </c>
      <c r="O7" s="80">
        <v>0.16666683333333332</v>
      </c>
      <c r="P7" s="80">
        <v>0.16708042093166797</v>
      </c>
      <c r="Q7" s="80">
        <v>0.14326506988156368</v>
      </c>
      <c r="R7" s="80">
        <v>9.6590808489653721E-2</v>
      </c>
      <c r="S7" s="24"/>
      <c r="T7" s="24"/>
      <c r="U7" s="24"/>
      <c r="W7" s="44"/>
      <c r="X7" s="24"/>
      <c r="Y7" s="24"/>
      <c r="Z7" s="24"/>
      <c r="AA7" s="24"/>
      <c r="AB7" s="24"/>
      <c r="AC7" s="24"/>
      <c r="AD7" s="24"/>
    </row>
    <row r="8" spans="2:30" ht="16.2" thickBot="1" x14ac:dyDescent="0.35">
      <c r="B8" s="3" t="s">
        <v>11</v>
      </c>
      <c r="C8" s="4">
        <v>0.11</v>
      </c>
      <c r="E8" s="61" t="s">
        <v>11</v>
      </c>
      <c r="F8" s="67">
        <v>0.26550442960277182</v>
      </c>
      <c r="G8" s="62">
        <f t="shared" si="0"/>
        <v>2655.0442960277182</v>
      </c>
      <c r="H8" s="24"/>
      <c r="I8" s="24"/>
      <c r="J8" s="73" t="s">
        <v>11</v>
      </c>
      <c r="K8" s="81">
        <v>0.13215405744597139</v>
      </c>
      <c r="L8" s="81">
        <v>0.16641695826214734</v>
      </c>
      <c r="M8" s="82">
        <v>0.16641695826214734</v>
      </c>
      <c r="N8" s="80">
        <v>0.16641695826214734</v>
      </c>
      <c r="O8" s="80">
        <v>0.16666683333333332</v>
      </c>
      <c r="P8" s="80">
        <v>0.32214478969291599</v>
      </c>
      <c r="Q8" s="80">
        <v>0.23782328612765968</v>
      </c>
      <c r="R8" s="80">
        <v>0.10227279518127501</v>
      </c>
      <c r="S8" s="24"/>
      <c r="T8" s="24"/>
      <c r="U8" s="24"/>
      <c r="W8" s="44"/>
      <c r="X8" s="24"/>
      <c r="Y8" s="24"/>
      <c r="Z8" s="24"/>
      <c r="AA8" s="24"/>
      <c r="AB8" s="24"/>
      <c r="AC8" s="24"/>
      <c r="AD8" s="24"/>
    </row>
    <row r="9" spans="2:30" ht="16.2" thickBot="1" x14ac:dyDescent="0.35">
      <c r="B9" s="3" t="s">
        <v>12</v>
      </c>
      <c r="C9" s="4">
        <v>0.14000000000000001</v>
      </c>
      <c r="E9" s="61" t="s">
        <v>12</v>
      </c>
      <c r="F9" s="67">
        <v>5.4854103211686468E-2</v>
      </c>
      <c r="G9" s="62">
        <f t="shared" si="0"/>
        <v>548.5410321168647</v>
      </c>
      <c r="H9" s="24"/>
      <c r="I9" s="24"/>
      <c r="J9" s="73" t="s">
        <v>12</v>
      </c>
      <c r="K9" s="81">
        <v>0.11095463151969664</v>
      </c>
      <c r="L9" s="81">
        <v>0.17091470954349525</v>
      </c>
      <c r="M9" s="82">
        <v>0.17091470954349525</v>
      </c>
      <c r="N9" s="80">
        <v>0.17091470954349525</v>
      </c>
      <c r="O9" s="80">
        <v>0.16666683333333332</v>
      </c>
      <c r="P9" s="80">
        <v>0.12130769685945071</v>
      </c>
      <c r="Q9" s="80">
        <v>0.22452732320122487</v>
      </c>
      <c r="R9" s="80">
        <v>0.35956819239375271</v>
      </c>
      <c r="S9" s="24"/>
      <c r="T9" s="24"/>
      <c r="U9" s="24"/>
      <c r="W9" s="44"/>
      <c r="X9" s="24"/>
      <c r="Y9" s="24"/>
      <c r="Z9" s="24"/>
      <c r="AA9" s="24"/>
      <c r="AB9" s="24"/>
      <c r="AC9" s="24"/>
      <c r="AD9" s="24"/>
    </row>
    <row r="10" spans="2:30" ht="16.2" thickBot="1" x14ac:dyDescent="0.35">
      <c r="B10" s="3" t="s">
        <v>13</v>
      </c>
      <c r="C10" s="4">
        <v>0.14000000000000001</v>
      </c>
      <c r="E10" s="61" t="s">
        <v>13</v>
      </c>
      <c r="F10" s="67">
        <v>0.25676306683921113</v>
      </c>
      <c r="G10" s="62">
        <f t="shared" si="0"/>
        <v>2567.6306683921111</v>
      </c>
      <c r="H10" s="24"/>
      <c r="I10" s="24"/>
      <c r="J10" s="73" t="s">
        <v>13</v>
      </c>
      <c r="K10" s="81">
        <v>0.11095463151969664</v>
      </c>
      <c r="L10" s="81">
        <v>0.17091470954349525</v>
      </c>
      <c r="M10" s="82">
        <v>0.17091470954349525</v>
      </c>
      <c r="N10" s="80">
        <v>0.17091470954349525</v>
      </c>
      <c r="O10" s="80">
        <v>0.16666683333333332</v>
      </c>
      <c r="P10" s="80">
        <v>0.34958612539999306</v>
      </c>
      <c r="Q10" s="80">
        <v>0.39438432078955177</v>
      </c>
      <c r="R10" s="80">
        <v>0.44156820393531865</v>
      </c>
      <c r="S10" s="24"/>
      <c r="T10" s="24"/>
      <c r="U10" s="24"/>
      <c r="W10" s="44"/>
      <c r="X10" s="24"/>
      <c r="Y10" s="24"/>
      <c r="Z10" s="24"/>
      <c r="AA10" s="24"/>
      <c r="AB10" s="24"/>
      <c r="AC10" s="24"/>
      <c r="AD10" s="24"/>
    </row>
    <row r="11" spans="2:30" ht="16.2" thickBot="1" x14ac:dyDescent="0.35">
      <c r="B11" s="3" t="s">
        <v>14</v>
      </c>
      <c r="C11" s="4">
        <v>0.09</v>
      </c>
      <c r="E11" s="61" t="s">
        <v>14</v>
      </c>
      <c r="F11" s="67">
        <v>9.0148916811826393E-2</v>
      </c>
      <c r="G11" s="62">
        <f t="shared" si="0"/>
        <v>901.48916811826393</v>
      </c>
      <c r="H11" s="24"/>
      <c r="I11" s="24"/>
      <c r="J11" s="74" t="s">
        <v>14</v>
      </c>
      <c r="K11" s="81">
        <v>0.14628700380884604</v>
      </c>
      <c r="L11" s="81">
        <v>0.16341845740791539</v>
      </c>
      <c r="M11" s="82">
        <v>0.16341845740791539</v>
      </c>
      <c r="N11" s="80">
        <v>0.16341845740791539</v>
      </c>
      <c r="O11" s="80">
        <v>0.16666683333333332</v>
      </c>
      <c r="P11" s="80">
        <v>3.9880967115972547E-2</v>
      </c>
      <c r="Q11" s="80">
        <v>0</v>
      </c>
      <c r="R11" s="80">
        <v>0</v>
      </c>
      <c r="S11" s="24"/>
      <c r="T11" s="24"/>
      <c r="U11" s="24"/>
      <c r="W11" s="44"/>
      <c r="X11" s="24"/>
      <c r="Y11" s="24"/>
      <c r="Z11" s="24"/>
      <c r="AA11" s="24"/>
      <c r="AB11" s="24"/>
      <c r="AC11" s="24"/>
      <c r="AD11" s="24"/>
    </row>
    <row r="12" spans="2:30" ht="16.8" thickTop="1" thickBot="1" x14ac:dyDescent="0.35">
      <c r="E12" s="63" t="s">
        <v>350</v>
      </c>
      <c r="F12" s="66">
        <f>SUM(F6:F11)</f>
        <v>0.99999999999999978</v>
      </c>
      <c r="G12" s="64">
        <v>10000</v>
      </c>
      <c r="H12" s="24"/>
      <c r="I12" s="24"/>
      <c r="J12" s="76" t="s">
        <v>350</v>
      </c>
      <c r="K12" s="66">
        <f>SUM(K6:K11)</f>
        <v>1.0000009999999999</v>
      </c>
      <c r="L12" s="66">
        <f t="shared" ref="L12:R12" si="1">SUM(L6:L11)</f>
        <v>1.0000009999999999</v>
      </c>
      <c r="M12" s="66">
        <f t="shared" si="1"/>
        <v>1.0000009999999999</v>
      </c>
      <c r="N12" s="66">
        <f t="shared" si="1"/>
        <v>1.0000009999999999</v>
      </c>
      <c r="O12" s="66">
        <f t="shared" si="1"/>
        <v>1.0000009999999999</v>
      </c>
      <c r="P12" s="66">
        <f t="shared" si="1"/>
        <v>1.0000000000000002</v>
      </c>
      <c r="Q12" s="66">
        <f t="shared" si="1"/>
        <v>1</v>
      </c>
      <c r="R12" s="66">
        <f t="shared" si="1"/>
        <v>1</v>
      </c>
      <c r="S12" s="24"/>
      <c r="T12" s="24"/>
      <c r="U12" s="24"/>
      <c r="W12" s="44"/>
      <c r="X12" s="24"/>
      <c r="Y12" s="24"/>
      <c r="Z12" s="24"/>
      <c r="AA12" s="24"/>
      <c r="AB12" s="24"/>
      <c r="AC12" s="24"/>
      <c r="AD12" s="24"/>
    </row>
    <row r="13" spans="2:30" ht="18" thickTop="1" x14ac:dyDescent="0.3">
      <c r="F13" s="57"/>
      <c r="G13" s="58"/>
      <c r="H13" s="58"/>
      <c r="I13" s="58"/>
      <c r="J13" s="58"/>
      <c r="K13" s="58"/>
      <c r="L13" s="58"/>
      <c r="N13" s="44"/>
      <c r="O13" s="45"/>
      <c r="P13" s="45"/>
      <c r="Q13" s="45"/>
      <c r="R13" s="45"/>
      <c r="S13" s="45"/>
      <c r="T13" s="45"/>
      <c r="U13" s="5"/>
      <c r="W13" s="44"/>
      <c r="X13" s="45"/>
      <c r="Y13" s="45"/>
      <c r="Z13" s="45"/>
      <c r="AA13" s="45"/>
      <c r="AB13" s="45"/>
      <c r="AC13" s="45"/>
      <c r="AD13" s="5"/>
    </row>
    <row r="14" spans="2:30" x14ac:dyDescent="0.3">
      <c r="B14" s="128"/>
      <c r="C14" s="128"/>
      <c r="D14" s="128"/>
      <c r="E14" s="70" t="s">
        <v>351</v>
      </c>
      <c r="F14" cm="1">
        <f t="array" ref="F14">MMULT(TRANSPOSE(C6:C11),F6:F11)</f>
        <v>0.11000000006098422</v>
      </c>
      <c r="J14" s="70" t="s">
        <v>313</v>
      </c>
      <c r="K14" s="82" cm="1">
        <f t="array" ref="K14">MMULT(TRANSPOSE($C$6:$C$11),K6:K11)</f>
        <v>0.1</v>
      </c>
      <c r="L14" s="82" cm="1">
        <f t="array" ref="L14">MMULT(TRANSPOSE($C$6:$C$11),L6:L11)</f>
        <v>0.11224898724919671</v>
      </c>
      <c r="M14" s="82" cm="1">
        <f t="array" ref="M14">MMULT(TRANSPOSE($C$6:$C$11),M6:M11)</f>
        <v>0.11224898724919671</v>
      </c>
      <c r="N14" s="82" cm="1">
        <f t="array" ref="N14">MMULT(TRANSPOSE($C$6:$C$11),N6:N11)</f>
        <v>0.11224898724919671</v>
      </c>
      <c r="O14" s="82" cm="1">
        <f t="array" ref="O14">MMULT(TRANSPOSE($C$6:$C$11),O6:O11)</f>
        <v>0.11166677833333333</v>
      </c>
      <c r="P14" s="82" cm="1">
        <f t="array" ref="P14">MMULT(TRANSPOSE($C$6:$C$11),P6:P11)</f>
        <v>0.12499999953478057</v>
      </c>
      <c r="Q14" s="82" cm="1">
        <f t="array" ref="Q14">MMULT(TRANSPOSE($C$6:$C$11),Q6:Q11)</f>
        <v>0.13000000001853895</v>
      </c>
      <c r="R14" s="82" cm="1">
        <f t="array" ref="R14">MMULT(TRANSPOSE($C$6:$C$11),R6:R11)</f>
        <v>0.13499999997476869</v>
      </c>
      <c r="W14" s="44"/>
    </row>
    <row r="15" spans="2:30" x14ac:dyDescent="0.3">
      <c r="B15" s="53"/>
      <c r="C15" s="53"/>
      <c r="D15" s="52"/>
      <c r="E15" s="69" t="s">
        <v>352</v>
      </c>
      <c r="F15" cm="1">
        <f t="array" ref="F15">MMULT(TRANSPOSE(F6:F11), MMULT(TRANSPOSE(C21:H26), F6:F11))</f>
        <v>7.7949931844527017E-4</v>
      </c>
      <c r="J15" s="77" t="s">
        <v>353</v>
      </c>
      <c r="K15" s="131">
        <v>5.1400000000000003E-4</v>
      </c>
      <c r="L15" s="131">
        <v>6.0300000000000002E-4</v>
      </c>
      <c r="M15" s="132">
        <v>7.3563547859010472E-4</v>
      </c>
      <c r="N15" s="131">
        <v>9.1100000000000003E-4</v>
      </c>
      <c r="O15" s="131">
        <v>1.129E-3</v>
      </c>
      <c r="P15" s="131">
        <v>1.4630000000000001E-3</v>
      </c>
      <c r="Q15" s="131">
        <v>2.098E-3</v>
      </c>
      <c r="R15" s="131">
        <v>3.496E-3</v>
      </c>
    </row>
    <row r="16" spans="2:30" x14ac:dyDescent="0.3">
      <c r="B16" s="54"/>
      <c r="C16" s="55"/>
      <c r="D16" s="56"/>
      <c r="E16" s="68" t="s">
        <v>313</v>
      </c>
      <c r="F16" s="59">
        <v>0.11</v>
      </c>
      <c r="J16" s="78"/>
      <c r="L16" s="7"/>
      <c r="N16" s="44"/>
      <c r="W16" s="44"/>
    </row>
    <row r="17" spans="2:30" x14ac:dyDescent="0.3">
      <c r="B17" s="54"/>
      <c r="C17" s="55"/>
      <c r="D17" s="56"/>
      <c r="N17" s="44"/>
      <c r="W17" s="44"/>
    </row>
    <row r="18" spans="2:30" x14ac:dyDescent="0.3">
      <c r="B18" s="54"/>
      <c r="C18" s="55"/>
      <c r="D18" s="56"/>
      <c r="N18" s="44"/>
      <c r="W18" s="44"/>
    </row>
    <row r="19" spans="2:30" ht="18" x14ac:dyDescent="0.5">
      <c r="B19" s="42"/>
      <c r="C19" s="129" t="s">
        <v>9</v>
      </c>
      <c r="D19" s="126" t="s">
        <v>10</v>
      </c>
      <c r="E19" s="126" t="s">
        <v>11</v>
      </c>
      <c r="F19" s="126" t="s">
        <v>12</v>
      </c>
      <c r="G19" s="126" t="s">
        <v>13</v>
      </c>
      <c r="H19" s="126" t="s">
        <v>14</v>
      </c>
      <c r="J19" s="51"/>
      <c r="K19" s="51"/>
    </row>
    <row r="20" spans="2:30" ht="18.600000000000001" thickBot="1" x14ac:dyDescent="0.35">
      <c r="B20" s="43"/>
      <c r="C20" s="130"/>
      <c r="D20" s="127"/>
      <c r="E20" s="127"/>
      <c r="F20" s="127"/>
      <c r="G20" s="127"/>
      <c r="H20" s="127"/>
      <c r="L20" s="7"/>
    </row>
    <row r="21" spans="2:30" ht="18.600000000000001" thickBot="1" x14ac:dyDescent="0.55000000000000004">
      <c r="B21" s="44" t="s">
        <v>9</v>
      </c>
      <c r="C21" s="71">
        <v>1E-3</v>
      </c>
      <c r="D21" s="72">
        <v>2.9999999999999997E-4</v>
      </c>
      <c r="E21" s="72">
        <v>-2.9999999999999997E-4</v>
      </c>
      <c r="F21" s="72">
        <v>3.5E-4</v>
      </c>
      <c r="G21" s="72">
        <v>-3.5E-4</v>
      </c>
      <c r="H21" s="72">
        <v>4.0000000000000002E-4</v>
      </c>
      <c r="N21" s="42"/>
      <c r="O21" s="51"/>
      <c r="P21" s="50"/>
      <c r="Q21" s="50"/>
      <c r="R21" s="50"/>
      <c r="S21" s="50"/>
      <c r="T21" s="50"/>
      <c r="U21" s="25"/>
      <c r="W21" s="42"/>
      <c r="X21" s="51"/>
      <c r="Y21" s="50"/>
      <c r="Z21" s="50"/>
      <c r="AA21" s="50"/>
      <c r="AB21" s="50"/>
      <c r="AC21" s="50"/>
      <c r="AD21" s="46"/>
    </row>
    <row r="22" spans="2:30" ht="18.600000000000001" thickBot="1" x14ac:dyDescent="0.35">
      <c r="B22" s="44" t="s">
        <v>10</v>
      </c>
      <c r="C22" s="71">
        <v>2.9999999999999997E-4</v>
      </c>
      <c r="D22" s="72">
        <v>8.9999999999999993E-3</v>
      </c>
      <c r="E22" s="72">
        <v>4.0000000000000002E-4</v>
      </c>
      <c r="F22" s="72">
        <v>1.6000000000000001E-3</v>
      </c>
      <c r="G22" s="72">
        <v>-1.6000000000000001E-3</v>
      </c>
      <c r="H22" s="72">
        <v>5.9999999999999995E-4</v>
      </c>
      <c r="N22" s="43"/>
      <c r="O22" s="51"/>
      <c r="P22" s="50"/>
      <c r="Q22" s="50"/>
      <c r="R22" s="50"/>
      <c r="S22" s="50"/>
      <c r="T22" s="50"/>
      <c r="U22" s="25"/>
      <c r="W22" s="43"/>
      <c r="X22" s="51"/>
      <c r="Y22" s="50"/>
      <c r="Z22" s="50"/>
      <c r="AA22" s="50"/>
      <c r="AB22" s="50"/>
      <c r="AC22" s="50"/>
      <c r="AD22" s="46"/>
    </row>
    <row r="23" spans="2:30" ht="16.2" thickBot="1" x14ac:dyDescent="0.35">
      <c r="B23" s="44" t="s">
        <v>11</v>
      </c>
      <c r="C23" s="71">
        <v>-2.9999999999999997E-4</v>
      </c>
      <c r="D23" s="72">
        <v>4.0000000000000002E-4</v>
      </c>
      <c r="E23" s="72">
        <v>8.0000000000000002E-3</v>
      </c>
      <c r="F23" s="72">
        <v>1.5E-3</v>
      </c>
      <c r="G23" s="72">
        <v>-5.4999999999999997E-3</v>
      </c>
      <c r="H23" s="72">
        <v>-6.9999999999999999E-4</v>
      </c>
      <c r="N23" s="44"/>
      <c r="O23" s="24"/>
      <c r="P23" s="24"/>
      <c r="Q23" s="24"/>
      <c r="R23" s="24"/>
      <c r="S23" s="24"/>
      <c r="T23" s="24"/>
      <c r="U23" s="24"/>
      <c r="W23" s="44"/>
      <c r="X23" s="24"/>
      <c r="Y23" s="24"/>
      <c r="Z23" s="24"/>
      <c r="AA23" s="24"/>
      <c r="AB23" s="24"/>
      <c r="AC23" s="24"/>
      <c r="AD23" s="47"/>
    </row>
    <row r="24" spans="2:30" ht="16.2" thickBot="1" x14ac:dyDescent="0.35">
      <c r="B24" s="44" t="s">
        <v>12</v>
      </c>
      <c r="C24" s="71">
        <v>3.5E-4</v>
      </c>
      <c r="D24" s="72">
        <v>1.6000000000000001E-3</v>
      </c>
      <c r="E24" s="72">
        <v>1.5E-3</v>
      </c>
      <c r="F24" s="72">
        <v>1.2E-2</v>
      </c>
      <c r="G24" s="72">
        <v>-5.0000000000000001E-4</v>
      </c>
      <c r="H24" s="72">
        <v>8.0000000000000004E-4</v>
      </c>
      <c r="N24" s="44"/>
      <c r="O24" s="24"/>
      <c r="P24" s="24"/>
      <c r="Q24" s="24"/>
      <c r="R24" s="24"/>
      <c r="S24" s="24"/>
      <c r="T24" s="24"/>
      <c r="U24" s="24"/>
      <c r="W24" s="44"/>
      <c r="X24" s="24"/>
      <c r="Y24" s="24"/>
      <c r="Z24" s="24"/>
      <c r="AA24" s="24"/>
      <c r="AB24" s="24"/>
      <c r="AC24" s="24"/>
      <c r="AD24" s="47"/>
    </row>
    <row r="25" spans="2:30" ht="16.2" thickBot="1" x14ac:dyDescent="0.35">
      <c r="B25" s="44" t="s">
        <v>13</v>
      </c>
      <c r="C25" s="71">
        <v>-3.5E-4</v>
      </c>
      <c r="D25" s="72">
        <v>-1.6000000000000001E-3</v>
      </c>
      <c r="E25" s="72">
        <v>-5.4999999999999997E-3</v>
      </c>
      <c r="F25" s="72">
        <v>-5.0000000000000001E-4</v>
      </c>
      <c r="G25" s="72">
        <v>1.2E-2</v>
      </c>
      <c r="H25" s="72">
        <v>-8.0000000000000004E-4</v>
      </c>
      <c r="N25" s="44"/>
      <c r="O25" s="24"/>
      <c r="P25" s="24"/>
      <c r="Q25" s="24"/>
      <c r="R25" s="24"/>
      <c r="S25" s="24"/>
      <c r="T25" s="24"/>
      <c r="U25" s="24"/>
      <c r="W25" s="44"/>
      <c r="X25" s="24"/>
      <c r="Y25" s="24"/>
      <c r="Z25" s="24"/>
      <c r="AA25" s="24"/>
      <c r="AB25" s="24"/>
      <c r="AC25" s="24"/>
      <c r="AD25" s="47"/>
    </row>
    <row r="26" spans="2:30" ht="16.2" thickBot="1" x14ac:dyDescent="0.35">
      <c r="B26" s="44" t="s">
        <v>14</v>
      </c>
      <c r="C26" s="71">
        <v>4.0000000000000002E-4</v>
      </c>
      <c r="D26" s="72">
        <v>5.9999999999999995E-4</v>
      </c>
      <c r="E26" s="72">
        <v>8.0000000000000004E-4</v>
      </c>
      <c r="F26" s="72">
        <v>8.0000000000000004E-4</v>
      </c>
      <c r="G26" s="72">
        <v>-8.0000000000000004E-4</v>
      </c>
      <c r="H26" s="72">
        <v>5.0000000000000001E-3</v>
      </c>
      <c r="N26" s="44"/>
      <c r="O26" s="24"/>
      <c r="P26" s="24"/>
      <c r="Q26" s="24"/>
      <c r="R26" s="24"/>
      <c r="S26" s="24"/>
      <c r="T26" s="24"/>
      <c r="U26" s="24"/>
      <c r="W26" s="44"/>
      <c r="X26" s="24"/>
      <c r="Y26" s="24"/>
      <c r="Z26" s="24"/>
      <c r="AA26" s="24"/>
      <c r="AB26" s="24"/>
      <c r="AC26" s="24"/>
      <c r="AD26" s="47"/>
    </row>
    <row r="27" spans="2:30" x14ac:dyDescent="0.3">
      <c r="N27" s="44"/>
      <c r="O27" s="24"/>
      <c r="P27" s="24"/>
      <c r="Q27" s="24"/>
      <c r="R27" s="24"/>
      <c r="S27" s="24"/>
      <c r="T27" s="24"/>
      <c r="U27" s="24"/>
      <c r="W27" s="44"/>
      <c r="X27" s="24"/>
      <c r="Y27" s="24"/>
      <c r="Z27" s="24"/>
      <c r="AA27" s="24"/>
      <c r="AB27" s="24"/>
      <c r="AC27" s="24"/>
      <c r="AD27" s="47"/>
    </row>
    <row r="28" spans="2:30" x14ac:dyDescent="0.3">
      <c r="N28" s="44"/>
      <c r="O28" s="24"/>
      <c r="P28" s="24"/>
      <c r="Q28" s="24"/>
      <c r="R28" s="24"/>
      <c r="S28" s="24"/>
      <c r="T28" s="24"/>
      <c r="U28" s="24"/>
      <c r="W28" s="44"/>
      <c r="X28" s="24"/>
      <c r="Y28" s="24"/>
      <c r="Z28" s="24"/>
      <c r="AA28" s="24"/>
      <c r="AB28" s="24"/>
      <c r="AC28" s="24"/>
      <c r="AD28" s="47"/>
    </row>
    <row r="29" spans="2:30" x14ac:dyDescent="0.3">
      <c r="N29" s="44"/>
      <c r="O29" s="45"/>
      <c r="P29" s="45"/>
      <c r="Q29" s="45"/>
      <c r="R29" s="45"/>
      <c r="S29" s="45"/>
      <c r="T29" s="45"/>
      <c r="U29" s="5"/>
      <c r="W29" s="44"/>
      <c r="X29" s="45"/>
      <c r="Y29" s="45"/>
      <c r="Z29" s="45"/>
      <c r="AA29" s="45"/>
      <c r="AB29" s="45"/>
      <c r="AC29" s="45"/>
      <c r="AD29" s="5"/>
    </row>
    <row r="30" spans="2:30" x14ac:dyDescent="0.3">
      <c r="N30" s="44"/>
      <c r="W30" s="44"/>
    </row>
    <row r="32" spans="2:30" x14ac:dyDescent="0.3">
      <c r="N32" s="44"/>
      <c r="W32" s="44"/>
    </row>
    <row r="33" spans="14:30" x14ac:dyDescent="0.3">
      <c r="N33" s="44"/>
      <c r="W33" s="44"/>
    </row>
    <row r="34" spans="14:30" x14ac:dyDescent="0.3">
      <c r="N34" s="44"/>
      <c r="W34" s="44"/>
    </row>
    <row r="37" spans="14:30" ht="18" x14ac:dyDescent="0.5">
      <c r="N37" s="42"/>
      <c r="O37" s="51"/>
      <c r="P37" s="50"/>
      <c r="Q37" s="50"/>
      <c r="R37" s="50"/>
      <c r="S37" s="50"/>
      <c r="T37" s="50"/>
      <c r="U37" s="25"/>
      <c r="W37" s="42"/>
      <c r="X37" s="51"/>
      <c r="Y37" s="50"/>
      <c r="Z37" s="50"/>
      <c r="AA37" s="50"/>
      <c r="AB37" s="50"/>
      <c r="AC37" s="50"/>
      <c r="AD37" s="46"/>
    </row>
    <row r="38" spans="14:30" ht="18" x14ac:dyDescent="0.3">
      <c r="N38" s="43"/>
      <c r="O38" s="51"/>
      <c r="P38" s="50"/>
      <c r="Q38" s="50"/>
      <c r="R38" s="50"/>
      <c r="S38" s="50"/>
      <c r="T38" s="50"/>
      <c r="U38" s="25"/>
      <c r="W38" s="43"/>
      <c r="X38" s="51"/>
      <c r="Y38" s="50"/>
      <c r="Z38" s="50"/>
      <c r="AA38" s="50"/>
      <c r="AB38" s="50"/>
      <c r="AC38" s="50"/>
      <c r="AD38" s="46"/>
    </row>
    <row r="39" spans="14:30" x14ac:dyDescent="0.3">
      <c r="N39" s="44"/>
      <c r="O39" s="24"/>
      <c r="P39" s="24"/>
      <c r="Q39" s="24"/>
      <c r="R39" s="24"/>
      <c r="S39" s="24"/>
      <c r="T39" s="24"/>
      <c r="U39" s="24"/>
      <c r="W39" s="44"/>
      <c r="X39" s="24"/>
      <c r="Y39" s="24"/>
      <c r="Z39" s="24"/>
      <c r="AA39" s="24"/>
      <c r="AB39" s="24"/>
      <c r="AC39" s="24"/>
      <c r="AD39" s="47"/>
    </row>
    <row r="40" spans="14:30" x14ac:dyDescent="0.3">
      <c r="N40" s="44"/>
      <c r="O40" s="24"/>
      <c r="P40" s="24"/>
      <c r="Q40" s="24"/>
      <c r="R40" s="24"/>
      <c r="S40" s="24"/>
      <c r="T40" s="24"/>
      <c r="U40" s="24"/>
      <c r="W40" s="44"/>
      <c r="X40" s="24"/>
      <c r="Y40" s="24"/>
      <c r="Z40" s="24"/>
      <c r="AA40" s="24"/>
      <c r="AB40" s="24"/>
      <c r="AC40" s="24"/>
      <c r="AD40" s="47"/>
    </row>
    <row r="41" spans="14:30" x14ac:dyDescent="0.3">
      <c r="N41" s="44"/>
      <c r="O41" s="24"/>
      <c r="P41" s="24"/>
      <c r="Q41" s="24"/>
      <c r="R41" s="24"/>
      <c r="S41" s="24"/>
      <c r="T41" s="24"/>
      <c r="U41" s="24"/>
      <c r="W41" s="44"/>
      <c r="X41" s="24"/>
      <c r="Y41" s="24"/>
      <c r="Z41" s="24"/>
      <c r="AA41" s="24"/>
      <c r="AB41" s="24"/>
      <c r="AC41" s="24"/>
      <c r="AD41" s="47"/>
    </row>
    <row r="42" spans="14:30" x14ac:dyDescent="0.3">
      <c r="N42" s="44"/>
      <c r="O42" s="24"/>
      <c r="P42" s="24"/>
      <c r="Q42" s="24"/>
      <c r="R42" s="24"/>
      <c r="S42" s="24"/>
      <c r="T42" s="24"/>
      <c r="U42" s="24"/>
      <c r="W42" s="44"/>
      <c r="X42" s="24"/>
      <c r="Y42" s="24"/>
      <c r="Z42" s="24"/>
      <c r="AA42" s="24"/>
      <c r="AB42" s="24"/>
      <c r="AC42" s="24"/>
      <c r="AD42" s="47"/>
    </row>
    <row r="43" spans="14:30" x14ac:dyDescent="0.3">
      <c r="N43" s="44"/>
      <c r="O43" s="24"/>
      <c r="P43" s="24"/>
      <c r="Q43" s="24"/>
      <c r="R43" s="24"/>
      <c r="S43" s="24"/>
      <c r="T43" s="24"/>
      <c r="U43" s="24"/>
      <c r="W43" s="44"/>
      <c r="X43" s="24"/>
      <c r="Y43" s="24"/>
      <c r="Z43" s="24"/>
      <c r="AA43" s="24"/>
      <c r="AB43" s="24"/>
      <c r="AC43" s="24"/>
      <c r="AD43" s="47"/>
    </row>
    <row r="44" spans="14:30" x14ac:dyDescent="0.3">
      <c r="N44" s="44"/>
      <c r="O44" s="24"/>
      <c r="P44" s="24"/>
      <c r="Q44" s="24"/>
      <c r="R44" s="24"/>
      <c r="S44" s="24"/>
      <c r="T44" s="24"/>
      <c r="U44" s="24"/>
      <c r="W44" s="44"/>
      <c r="X44" s="24"/>
      <c r="Y44" s="24"/>
      <c r="Z44" s="24"/>
      <c r="AA44" s="24"/>
      <c r="AB44" s="24"/>
      <c r="AC44" s="24"/>
      <c r="AD44" s="47"/>
    </row>
    <row r="45" spans="14:30" x14ac:dyDescent="0.3">
      <c r="N45" s="44"/>
      <c r="O45" s="45"/>
      <c r="P45" s="45"/>
      <c r="Q45" s="45"/>
      <c r="R45" s="45"/>
      <c r="S45" s="45"/>
      <c r="T45" s="45"/>
      <c r="U45" s="5"/>
      <c r="W45" s="44"/>
      <c r="X45" s="45"/>
      <c r="Y45" s="45"/>
      <c r="Z45" s="45"/>
      <c r="AA45" s="45"/>
      <c r="AB45" s="45"/>
      <c r="AC45" s="45"/>
    </row>
    <row r="46" spans="14:30" x14ac:dyDescent="0.3">
      <c r="N46" s="44"/>
      <c r="W46" s="48"/>
      <c r="Y46" s="49"/>
      <c r="Z46" s="49"/>
      <c r="AA46" s="49"/>
      <c r="AB46" s="49"/>
      <c r="AC46" s="49"/>
    </row>
    <row r="48" spans="14:30" x14ac:dyDescent="0.3">
      <c r="N48" s="44"/>
      <c r="W48" s="44"/>
    </row>
    <row r="49" spans="14:30" x14ac:dyDescent="0.3">
      <c r="N49" s="44"/>
      <c r="W49" s="44"/>
    </row>
    <row r="50" spans="14:30" x14ac:dyDescent="0.3">
      <c r="N50" s="44"/>
      <c r="W50" s="44"/>
    </row>
    <row r="53" spans="14:30" ht="18" x14ac:dyDescent="0.5">
      <c r="N53" s="42"/>
      <c r="O53" s="51"/>
      <c r="P53" s="50"/>
      <c r="Q53" s="50"/>
      <c r="R53" s="50"/>
      <c r="S53" s="50"/>
      <c r="T53" s="50"/>
      <c r="U53" s="46"/>
      <c r="W53" s="42"/>
      <c r="X53" s="51"/>
      <c r="Y53" s="50"/>
      <c r="Z53" s="50"/>
      <c r="AA53" s="50"/>
      <c r="AB53" s="50"/>
      <c r="AC53" s="50"/>
      <c r="AD53" s="46"/>
    </row>
    <row r="54" spans="14:30" ht="18" x14ac:dyDescent="0.3">
      <c r="N54" s="43"/>
      <c r="O54" s="51"/>
      <c r="P54" s="50"/>
      <c r="Q54" s="50"/>
      <c r="R54" s="50"/>
      <c r="S54" s="50"/>
      <c r="T54" s="50"/>
      <c r="U54" s="46"/>
      <c r="W54" s="43"/>
      <c r="X54" s="51"/>
      <c r="Y54" s="50"/>
      <c r="Z54" s="50"/>
      <c r="AA54" s="50"/>
      <c r="AB54" s="50"/>
      <c r="AC54" s="50"/>
      <c r="AD54" s="46"/>
    </row>
    <row r="55" spans="14:30" x14ac:dyDescent="0.3">
      <c r="N55" s="44"/>
      <c r="O55" s="24"/>
      <c r="P55" s="24"/>
      <c r="Q55" s="24"/>
      <c r="R55" s="24"/>
      <c r="S55" s="24"/>
      <c r="T55" s="24"/>
      <c r="U55" s="47"/>
      <c r="W55" s="44"/>
      <c r="X55" s="24"/>
      <c r="Y55" s="24"/>
      <c r="Z55" s="24"/>
      <c r="AA55" s="24"/>
      <c r="AB55" s="24"/>
      <c r="AC55" s="24"/>
      <c r="AD55" s="47"/>
    </row>
    <row r="56" spans="14:30" x14ac:dyDescent="0.3">
      <c r="N56" s="44"/>
      <c r="O56" s="24"/>
      <c r="P56" s="24"/>
      <c r="Q56" s="24"/>
      <c r="R56" s="24"/>
      <c r="S56" s="24"/>
      <c r="T56" s="24"/>
      <c r="U56" s="47"/>
      <c r="W56" s="44"/>
      <c r="X56" s="24"/>
      <c r="Y56" s="24"/>
      <c r="Z56" s="24"/>
      <c r="AA56" s="24"/>
      <c r="AB56" s="24"/>
      <c r="AC56" s="24"/>
      <c r="AD56" s="47"/>
    </row>
    <row r="57" spans="14:30" x14ac:dyDescent="0.3">
      <c r="N57" s="44"/>
      <c r="O57" s="24"/>
      <c r="P57" s="24"/>
      <c r="Q57" s="24"/>
      <c r="R57" s="24"/>
      <c r="S57" s="24"/>
      <c r="T57" s="24"/>
      <c r="U57" s="47"/>
      <c r="W57" s="44"/>
      <c r="X57" s="24"/>
      <c r="Y57" s="24"/>
      <c r="Z57" s="24"/>
      <c r="AA57" s="24"/>
      <c r="AB57" s="24"/>
      <c r="AC57" s="24"/>
      <c r="AD57" s="47"/>
    </row>
    <row r="58" spans="14:30" x14ac:dyDescent="0.3">
      <c r="N58" s="44"/>
      <c r="O58" s="24"/>
      <c r="P58" s="24"/>
      <c r="Q58" s="24"/>
      <c r="R58" s="24"/>
      <c r="S58" s="24"/>
      <c r="T58" s="24"/>
      <c r="U58" s="47"/>
      <c r="W58" s="44"/>
      <c r="X58" s="24"/>
      <c r="Y58" s="24"/>
      <c r="Z58" s="24"/>
      <c r="AA58" s="24"/>
      <c r="AB58" s="24"/>
      <c r="AC58" s="24"/>
      <c r="AD58" s="47"/>
    </row>
    <row r="59" spans="14:30" x14ac:dyDescent="0.3">
      <c r="N59" s="44"/>
      <c r="O59" s="24"/>
      <c r="P59" s="24"/>
      <c r="Q59" s="24"/>
      <c r="R59" s="24"/>
      <c r="S59" s="24"/>
      <c r="T59" s="24"/>
      <c r="U59" s="47"/>
      <c r="W59" s="44"/>
      <c r="X59" s="24"/>
      <c r="Y59" s="24"/>
      <c r="Z59" s="24"/>
      <c r="AA59" s="24"/>
      <c r="AB59" s="24"/>
      <c r="AC59" s="24"/>
      <c r="AD59" s="47"/>
    </row>
    <row r="60" spans="14:30" x14ac:dyDescent="0.3">
      <c r="N60" s="44"/>
      <c r="O60" s="24"/>
      <c r="P60" s="24"/>
      <c r="Q60" s="24"/>
      <c r="R60" s="24"/>
      <c r="S60" s="24"/>
      <c r="T60" s="24"/>
      <c r="U60" s="47"/>
      <c r="W60" s="44"/>
      <c r="X60" s="24"/>
      <c r="Y60" s="24"/>
      <c r="Z60" s="24"/>
      <c r="AA60" s="24"/>
      <c r="AB60" s="24"/>
      <c r="AC60" s="24"/>
      <c r="AD60" s="47"/>
    </row>
    <row r="61" spans="14:30" x14ac:dyDescent="0.3">
      <c r="N61" s="44"/>
      <c r="O61" s="45"/>
      <c r="P61" s="45"/>
      <c r="Q61" s="45"/>
      <c r="R61" s="45"/>
      <c r="S61" s="45"/>
      <c r="T61" s="45"/>
      <c r="W61" s="44"/>
      <c r="X61" s="45"/>
      <c r="Y61" s="45"/>
      <c r="Z61" s="45"/>
      <c r="AA61" s="45"/>
      <c r="AB61" s="45"/>
      <c r="AC61" s="45"/>
    </row>
    <row r="62" spans="14:30" x14ac:dyDescent="0.3">
      <c r="N62" s="48"/>
      <c r="P62" s="49"/>
      <c r="Q62" s="49"/>
      <c r="R62" s="49"/>
      <c r="S62" s="49"/>
      <c r="T62" s="49"/>
      <c r="W62" s="48"/>
      <c r="Y62" s="49"/>
      <c r="Z62" s="49"/>
      <c r="AA62" s="49"/>
      <c r="AB62" s="49"/>
      <c r="AC62" s="49"/>
    </row>
    <row r="64" spans="14:30" x14ac:dyDescent="0.3">
      <c r="N64" s="44"/>
      <c r="W64" s="44"/>
    </row>
    <row r="65" spans="14:23" x14ac:dyDescent="0.3">
      <c r="N65" s="44"/>
      <c r="W65" s="44"/>
    </row>
    <row r="66" spans="14:23" x14ac:dyDescent="0.3">
      <c r="N66" s="44"/>
      <c r="W66" s="44"/>
    </row>
  </sheetData>
  <mergeCells count="7">
    <mergeCell ref="G19:G20"/>
    <mergeCell ref="H19:H20"/>
    <mergeCell ref="B14:D14"/>
    <mergeCell ref="C19:C20"/>
    <mergeCell ref="D19:D20"/>
    <mergeCell ref="E19:E20"/>
    <mergeCell ref="F19:F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39A6E44CCDD04183681ED3B3C94DEE" ma:contentTypeVersion="13" ma:contentTypeDescription="Create a new document." ma:contentTypeScope="" ma:versionID="d0a475be789a413609aec5bf4e915894">
  <xsd:schema xmlns:xsd="http://www.w3.org/2001/XMLSchema" xmlns:xs="http://www.w3.org/2001/XMLSchema" xmlns:p="http://schemas.microsoft.com/office/2006/metadata/properties" xmlns:ns3="6df33975-7de5-43f4-9324-ea66409ee940" xmlns:ns4="1c0c9488-2abe-4af7-afb6-e8dfca954dcb" targetNamespace="http://schemas.microsoft.com/office/2006/metadata/properties" ma:root="true" ma:fieldsID="9a03d8fcaa269aa1e8b88b3fdd73810a" ns3:_="" ns4:_="">
    <xsd:import namespace="6df33975-7de5-43f4-9324-ea66409ee940"/>
    <xsd:import namespace="1c0c9488-2abe-4af7-afb6-e8dfca954d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f33975-7de5-43f4-9324-ea66409e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c9488-2abe-4af7-afb6-e8dfca954dc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f33975-7de5-43f4-9324-ea66409ee940" xsi:nil="true"/>
  </documentManagement>
</p:properties>
</file>

<file path=customXml/itemProps1.xml><?xml version="1.0" encoding="utf-8"?>
<ds:datastoreItem xmlns:ds="http://schemas.openxmlformats.org/officeDocument/2006/customXml" ds:itemID="{E0E9ADA2-7123-4112-83BB-18E64BBC97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A29AB5-1BA6-48F9-B3DD-1EB4309757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f33975-7de5-43f4-9324-ea66409ee940"/>
    <ds:schemaRef ds:uri="1c0c9488-2abe-4af7-afb6-e8dfca954d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39BFCD-D620-443D-8C7E-B4B1620309A4}">
  <ds:schemaRefs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1c0c9488-2abe-4af7-afb6-e8dfca954dcb"/>
    <ds:schemaRef ds:uri="http://www.w3.org/XML/1998/namespace"/>
    <ds:schemaRef ds:uri="http://schemas.microsoft.com/office/infopath/2007/PartnerControls"/>
    <ds:schemaRef ds:uri="6df33975-7de5-43f4-9324-ea66409ee940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Sensitivity Report 1</vt:lpstr>
      <vt:lpstr>Part 1</vt:lpstr>
      <vt:lpstr>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Rasoul Behboudi</dc:creator>
  <cp:lastModifiedBy>Kevin Pandya</cp:lastModifiedBy>
  <dcterms:created xsi:type="dcterms:W3CDTF">2020-12-01T18:44:30Z</dcterms:created>
  <dcterms:modified xsi:type="dcterms:W3CDTF">2024-03-31T03:52:50Z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0x0101001B39A6E44CCDD04183681ED3B3C94DEE</vt:lpwstr>
  </property>
</Properties>
</file>