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fdfecf6042e6c4/Desktop/ALY6050/"/>
    </mc:Choice>
  </mc:AlternateContent>
  <xr:revisionPtr revIDLastSave="0" documentId="8_{5DAFC165-E8FF-4A2B-B79C-7D459F9B185B}" xr6:coauthVersionLast="47" xr6:coauthVersionMax="47" xr10:uidLastSave="{00000000-0000-0000-0000-000000000000}"/>
  <bookViews>
    <workbookView xWindow="-108" yWindow="-108" windowWidth="23256" windowHeight="12456" activeTab="3" xr2:uid="{0CAE2F1B-E8BA-4468-9FFB-BEEBFF571900}"/>
  </bookViews>
  <sheets>
    <sheet name="Answer Report 1" sheetId="16" r:id="rId1"/>
    <sheet name="Sensitivity Report 1" sheetId="17" r:id="rId2"/>
    <sheet name="Limits Report 1" sheetId="18" r:id="rId3"/>
    <sheet name="Sheet1" sheetId="1" r:id="rId4"/>
  </sheets>
  <definedNames>
    <definedName name="solver_adj" localSheetId="3" hidden="1">Sheet1!$C$11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0</definedName>
    <definedName name="solver_nwt" localSheetId="3" hidden="1">1</definedName>
    <definedName name="solver_opt" localSheetId="3" hidden="1">Sheet1!$C$15</definedName>
    <definedName name="solver_pre" localSheetId="3" hidden="1">0.000001</definedName>
    <definedName name="solver_rbv" localSheetId="3" hidden="1">1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2" hidden="1">2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2</definedName>
    <definedName name="solver_val" localSheetId="3" hidden="1">0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V3" i="1" a="1"/>
  <c r="V3" i="1" s="1"/>
  <c r="W2" i="1" a="1"/>
  <c r="W2" i="1" s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3" i="1"/>
  <c r="H4" i="1" l="1"/>
  <c r="J4" i="1" s="1"/>
  <c r="H5" i="1"/>
  <c r="J5" i="1" s="1"/>
  <c r="H6" i="1"/>
  <c r="J6" i="1" s="1"/>
  <c r="H7" i="1"/>
  <c r="J7" i="1" s="1"/>
  <c r="H8" i="1"/>
  <c r="J8" i="1" s="1"/>
  <c r="H9" i="1"/>
  <c r="J9" i="1" s="1"/>
  <c r="H10" i="1"/>
  <c r="J10" i="1" s="1"/>
  <c r="H11" i="1"/>
  <c r="J11" i="1" s="1"/>
  <c r="H12" i="1"/>
  <c r="J12" i="1" s="1"/>
  <c r="H13" i="1"/>
  <c r="J13" i="1" s="1"/>
  <c r="H14" i="1"/>
  <c r="H15" i="1"/>
  <c r="J15" i="1" s="1"/>
  <c r="H16" i="1"/>
  <c r="H17" i="1"/>
  <c r="J17" i="1" s="1"/>
  <c r="H18" i="1"/>
  <c r="J18" i="1" s="1"/>
  <c r="H19" i="1"/>
  <c r="J19" i="1" s="1"/>
  <c r="H20" i="1"/>
  <c r="J20" i="1" s="1"/>
  <c r="H21" i="1"/>
  <c r="J21" i="1" s="1"/>
  <c r="H22" i="1"/>
  <c r="J22" i="1" s="1"/>
  <c r="H23" i="1"/>
  <c r="J23" i="1" s="1"/>
  <c r="H24" i="1"/>
  <c r="J24" i="1" s="1"/>
  <c r="H25" i="1"/>
  <c r="J25" i="1" s="1"/>
  <c r="H26" i="1"/>
  <c r="J26" i="1" s="1"/>
  <c r="H27" i="1"/>
  <c r="J27" i="1" s="1"/>
  <c r="H28" i="1"/>
  <c r="J28" i="1" s="1"/>
  <c r="H29" i="1"/>
  <c r="J29" i="1" s="1"/>
  <c r="H30" i="1"/>
  <c r="J30" i="1" s="1"/>
  <c r="H31" i="1"/>
  <c r="J31" i="1" s="1"/>
  <c r="H32" i="1"/>
  <c r="J32" i="1" s="1"/>
  <c r="H33" i="1"/>
  <c r="J33" i="1" s="1"/>
  <c r="H34" i="1"/>
  <c r="J34" i="1" s="1"/>
  <c r="H35" i="1"/>
  <c r="J35" i="1" s="1"/>
  <c r="H36" i="1"/>
  <c r="J36" i="1" s="1"/>
  <c r="H37" i="1"/>
  <c r="J37" i="1" s="1"/>
  <c r="H38" i="1"/>
  <c r="J38" i="1" s="1"/>
  <c r="H39" i="1"/>
  <c r="J39" i="1" s="1"/>
  <c r="H40" i="1"/>
  <c r="J40" i="1" s="1"/>
  <c r="H41" i="1"/>
  <c r="J41" i="1" s="1"/>
  <c r="H42" i="1"/>
  <c r="J42" i="1" s="1"/>
  <c r="H43" i="1"/>
  <c r="J43" i="1" s="1"/>
  <c r="H44" i="1"/>
  <c r="J44" i="1" s="1"/>
  <c r="H45" i="1"/>
  <c r="J45" i="1" s="1"/>
  <c r="H46" i="1"/>
  <c r="J46" i="1" s="1"/>
  <c r="H47" i="1"/>
  <c r="J47" i="1" s="1"/>
  <c r="H48" i="1"/>
  <c r="J48" i="1" s="1"/>
  <c r="H49" i="1"/>
  <c r="J49" i="1" s="1"/>
  <c r="H50" i="1"/>
  <c r="J50" i="1" s="1"/>
  <c r="H51" i="1"/>
  <c r="J51" i="1" s="1"/>
  <c r="H52" i="1"/>
  <c r="J52" i="1" s="1"/>
  <c r="H3" i="1"/>
  <c r="C13" i="1"/>
  <c r="J14" i="1"/>
  <c r="J16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3" i="1"/>
  <c r="F3" i="1" a="1"/>
  <c r="F3" i="1" s="1"/>
  <c r="J3" i="1" l="1"/>
  <c r="C9" i="1" l="1"/>
  <c r="C10" i="1" l="1"/>
  <c r="C15" i="1" s="1"/>
  <c r="V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<sst xmlns="http://schemas.openxmlformats.org/spreadsheetml/2006/main" count="94" uniqueCount="60">
  <si>
    <t>Order Quantity</t>
  </si>
  <si>
    <t>Annual Holding Cost</t>
  </si>
  <si>
    <t>Total Cost</t>
  </si>
  <si>
    <t>Total Orders per year</t>
  </si>
  <si>
    <t>Microsoft Excel 16.0 Answer Report</t>
  </si>
  <si>
    <t>Worksheet: [ALY6050_MOD4Project_PandK.xlsx]Sheet1</t>
  </si>
  <si>
    <t>Result: Solver found a solution.  All Constraints and optimality conditions are satisfied.</t>
  </si>
  <si>
    <t>Solver Engine</t>
  </si>
  <si>
    <t>Engine: GRG Nonlinear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</si>
  <si>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</si>
  <si>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</si>
  <si>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</si>
  <si>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</si>
  <si>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</si>
  <si>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(Min)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</si>
  <si>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</si>
  <si>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</si>
  <si>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</si>
  <si>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</si>
  <si>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</si>
  <si>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</si>
  <si>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</si>
  <si>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NONE</t>
  </si>
  <si>
    <t>Contin</t>
  </si>
  <si>
    <t>Microsoft Excel 16.0 Sensitivity Report</t>
  </si>
  <si>
    <t>Final</t>
  </si>
  <si>
    <t>Value</t>
  </si>
  <si>
    <t>Reduced</t>
  </si>
  <si>
    <t>Gradient</t>
  </si>
  <si>
    <t>Annual Ordering Cost</t>
  </si>
  <si>
    <t>Total Orders per Year</t>
  </si>
  <si>
    <t>Annual Order</t>
  </si>
  <si>
    <t>Order Price</t>
  </si>
  <si>
    <t>Description</t>
  </si>
  <si>
    <t>Formula</t>
  </si>
  <si>
    <t>SQRT((2*AD*OC)/UC*HC)</t>
  </si>
  <si>
    <t>2 * Order Quantity</t>
  </si>
  <si>
    <t>AOC + AHC</t>
  </si>
  <si>
    <t>Annual Demand (AD)</t>
  </si>
  <si>
    <t>Unit Cost (UC)</t>
  </si>
  <si>
    <t>Holding Cost (HC)</t>
  </si>
  <si>
    <t>Order Cost (OC)</t>
  </si>
  <si>
    <t>Order Quantity (Solver)</t>
  </si>
  <si>
    <t>$C$15</t>
  </si>
  <si>
    <t>AOC + AHC Value</t>
  </si>
  <si>
    <t>$C$11</t>
  </si>
  <si>
    <t>Order Quantity (Solver) 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</si>
  <si>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</si>
  <si>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</si>
  <si>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</si>
  <si>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</si>
  <si>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</si>
  <si>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</si>
  <si>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</si>
  <si>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Report Created: 16-03-2024 12:15:14</t>
  </si>
  <si>
    <t>Solution Time: 0.046 Seconds.</t>
  </si>
  <si>
    <t>HC * ((RP + Order Quantity) / 2)</t>
  </si>
  <si>
    <t>Reorder Point (RP)</t>
  </si>
  <si>
    <t>OC * (AD / Order quantity)</t>
  </si>
  <si>
    <t>Solver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</si>
</sst>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1009]#,##0.00"/>
  </numFmts>
  <fonts count="7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9" fontId="0" fillId="0" borderId="0" xfId="0" applyNumberFormat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4" fillId="0" borderId="0" xfId="0" applyFont="1"/>
    <xf numFmtId="0" fontId="0" fillId="0" borderId="4" xfId="0" applyBorder="1"/>
    <xf numFmtId="0" fontId="3" fillId="0" borderId="3" xfId="0" applyFont="1" applyBorder="1" applyAlignment="1">
      <alignment horizontal="center"/>
    </xf>
    <xf numFmtId="164" fontId="0" fillId="0" borderId="4" xfId="0" applyNumberFormat="1" applyBorder="1"/>
    <xf numFmtId="1" fontId="0" fillId="0" borderId="4" xfId="0" applyNumberFormat="1" applyBorder="1"/>
    <xf numFmtId="0" fontId="3" fillId="0" borderId="3" xfId="0" applyFont="1" applyBorder="1" applyAlignment="1">
      <alignment horizontal="centerContinuous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6" fillId="3" borderId="0" xfId="0" applyFont="1" applyFill="1"/>
    <xf numFmtId="0" fontId="2" fillId="0" borderId="0" xfId="0" applyFont="1" applyAlignment="1">
      <alignment horizontal="center"/>
    </xf>
    <xf numFmtId="0" fontId="1" fillId="0" borderId="0" xfId="1" applyAlignment="1">
      <alignment horizontal="center" wrapText="1"/>
    </xf>
  </cellXfs>
  <cellStyles count="2">
    <cellStyle name="Heading 4" xfId="1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Sheet1!$J$1:$J$2</c:f>
              <c:strCache>
                <c:ptCount val="2"/>
                <c:pt idx="1">
                  <c:v>Total Cost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Sheet1!$F$3:$F$103</c:f>
              <c:numCache>
                <c:formatCode>General</c:formatCode>
                <c:ptCount val="101"/>
                <c:pt idx="0">
                  <c:v>599</c:v>
                </c:pt>
                <c:pt idx="1">
                  <c:v>602</c:v>
                </c:pt>
                <c:pt idx="2">
                  <c:v>605</c:v>
                </c:pt>
                <c:pt idx="3">
                  <c:v>608</c:v>
                </c:pt>
                <c:pt idx="4">
                  <c:v>611</c:v>
                </c:pt>
                <c:pt idx="5">
                  <c:v>614</c:v>
                </c:pt>
                <c:pt idx="6">
                  <c:v>617</c:v>
                </c:pt>
                <c:pt idx="7">
                  <c:v>620</c:v>
                </c:pt>
                <c:pt idx="8">
                  <c:v>623</c:v>
                </c:pt>
                <c:pt idx="9">
                  <c:v>626</c:v>
                </c:pt>
                <c:pt idx="10">
                  <c:v>629</c:v>
                </c:pt>
                <c:pt idx="11">
                  <c:v>632</c:v>
                </c:pt>
                <c:pt idx="12">
                  <c:v>635</c:v>
                </c:pt>
                <c:pt idx="13">
                  <c:v>638</c:v>
                </c:pt>
                <c:pt idx="14">
                  <c:v>641</c:v>
                </c:pt>
                <c:pt idx="15">
                  <c:v>644</c:v>
                </c:pt>
                <c:pt idx="16">
                  <c:v>647</c:v>
                </c:pt>
                <c:pt idx="17">
                  <c:v>650</c:v>
                </c:pt>
                <c:pt idx="18">
                  <c:v>653</c:v>
                </c:pt>
                <c:pt idx="19">
                  <c:v>656</c:v>
                </c:pt>
                <c:pt idx="20">
                  <c:v>659</c:v>
                </c:pt>
                <c:pt idx="21">
                  <c:v>662</c:v>
                </c:pt>
                <c:pt idx="22">
                  <c:v>665</c:v>
                </c:pt>
                <c:pt idx="23">
                  <c:v>668</c:v>
                </c:pt>
                <c:pt idx="24">
                  <c:v>671</c:v>
                </c:pt>
                <c:pt idx="25">
                  <c:v>674</c:v>
                </c:pt>
                <c:pt idx="26">
                  <c:v>677</c:v>
                </c:pt>
                <c:pt idx="27">
                  <c:v>680</c:v>
                </c:pt>
                <c:pt idx="28">
                  <c:v>683</c:v>
                </c:pt>
                <c:pt idx="29">
                  <c:v>686</c:v>
                </c:pt>
                <c:pt idx="30">
                  <c:v>689</c:v>
                </c:pt>
                <c:pt idx="31">
                  <c:v>692</c:v>
                </c:pt>
                <c:pt idx="32">
                  <c:v>695</c:v>
                </c:pt>
                <c:pt idx="33">
                  <c:v>698</c:v>
                </c:pt>
                <c:pt idx="34">
                  <c:v>701</c:v>
                </c:pt>
                <c:pt idx="35">
                  <c:v>704</c:v>
                </c:pt>
                <c:pt idx="36">
                  <c:v>707</c:v>
                </c:pt>
                <c:pt idx="37">
                  <c:v>710</c:v>
                </c:pt>
                <c:pt idx="38">
                  <c:v>713</c:v>
                </c:pt>
                <c:pt idx="39">
                  <c:v>716</c:v>
                </c:pt>
                <c:pt idx="40">
                  <c:v>719</c:v>
                </c:pt>
                <c:pt idx="41">
                  <c:v>722</c:v>
                </c:pt>
                <c:pt idx="42">
                  <c:v>725</c:v>
                </c:pt>
                <c:pt idx="43">
                  <c:v>728</c:v>
                </c:pt>
                <c:pt idx="44">
                  <c:v>731</c:v>
                </c:pt>
                <c:pt idx="45">
                  <c:v>734</c:v>
                </c:pt>
                <c:pt idx="46">
                  <c:v>737</c:v>
                </c:pt>
                <c:pt idx="47">
                  <c:v>740</c:v>
                </c:pt>
                <c:pt idx="48">
                  <c:v>743</c:v>
                </c:pt>
                <c:pt idx="49">
                  <c:v>746</c:v>
                </c:pt>
              </c:numCache>
            </c:numRef>
          </c:xVal>
          <c:yVal>
            <c:numRef>
              <c:f>Sheet1!$J$3:$J$103</c:f>
              <c:numCache>
                <c:formatCode>[$$-1009]#,##0.00</c:formatCode>
                <c:ptCount val="101"/>
                <c:pt idx="0">
                  <c:v>19570.828055513066</c:v>
                </c:pt>
                <c:pt idx="1">
                  <c:v>19564.973660313983</c:v>
                </c:pt>
                <c:pt idx="2">
                  <c:v>19559.391540108605</c:v>
                </c:pt>
                <c:pt idx="3">
                  <c:v>19554.077664510522</c:v>
                </c:pt>
                <c:pt idx="4">
                  <c:v>19549.028082289828</c:v>
                </c:pt>
                <c:pt idx="5">
                  <c:v>19544.238919439373</c:v>
                </c:pt>
                <c:pt idx="6">
                  <c:v>19539.706377297349</c:v>
                </c:pt>
                <c:pt idx="7">
                  <c:v>19535.426730724441</c:v>
                </c:pt>
                <c:pt idx="8">
                  <c:v>19531.396326333619</c:v>
                </c:pt>
                <c:pt idx="9">
                  <c:v>19527.611580770819</c:v>
                </c:pt>
                <c:pt idx="10">
                  <c:v>19524.068979044867</c:v>
                </c:pt>
                <c:pt idx="11">
                  <c:v>19520.765072904924</c:v>
                </c:pt>
                <c:pt idx="12">
                  <c:v>19517.696479263937</c:v>
                </c:pt>
                <c:pt idx="13">
                  <c:v>19514.859878666601</c:v>
                </c:pt>
                <c:pt idx="14">
                  <c:v>19512.25201380028</c:v>
                </c:pt>
                <c:pt idx="15">
                  <c:v>19509.869688047624</c:v>
                </c:pt>
                <c:pt idx="16">
                  <c:v>19507.70976407938</c:v>
                </c:pt>
                <c:pt idx="17">
                  <c:v>19505.769162486227</c:v>
                </c:pt>
                <c:pt idx="18">
                  <c:v>19504.044860448295</c:v>
                </c:pt>
                <c:pt idx="19">
                  <c:v>19502.533890441202</c:v>
                </c:pt>
                <c:pt idx="20">
                  <c:v>19501.233338977414</c:v>
                </c:pt>
                <c:pt idx="21">
                  <c:v>19500.140345381882</c:v>
                </c:pt>
                <c:pt idx="22">
                  <c:v>19499.252100600745</c:v>
                </c:pt>
                <c:pt idx="23">
                  <c:v>19498.565846042191</c:v>
                </c:pt>
                <c:pt idx="24">
                  <c:v>19498.078872448397</c:v>
                </c:pt>
                <c:pt idx="25">
                  <c:v>19497.78851879757</c:v>
                </c:pt>
                <c:pt idx="26">
                  <c:v>19497.692171235234</c:v>
                </c:pt>
                <c:pt idx="27">
                  <c:v>19497.78726203374</c:v>
                </c:pt>
                <c:pt idx="28">
                  <c:v>19498.071268579257</c:v>
                </c:pt>
                <c:pt idx="29">
                  <c:v>19498.541712385311</c:v>
                </c:pt>
                <c:pt idx="30">
                  <c:v>19499.19615813209</c:v>
                </c:pt>
                <c:pt idx="31">
                  <c:v>19500.032212730781</c:v>
                </c:pt>
                <c:pt idx="32">
                  <c:v>19501.047524412072</c:v>
                </c:pt>
                <c:pt idx="33">
                  <c:v>19502.239781838223</c:v>
                </c:pt>
                <c:pt idx="34">
                  <c:v>19503.606713237903</c:v>
                </c:pt>
                <c:pt idx="35">
                  <c:v>19505.146085563152</c:v>
                </c:pt>
                <c:pt idx="36">
                  <c:v>19506.855703667818</c:v>
                </c:pt>
                <c:pt idx="37">
                  <c:v>19508.733409506814</c:v>
                </c:pt>
                <c:pt idx="38">
                  <c:v>19510.777081355576</c:v>
                </c:pt>
                <c:pt idx="39">
                  <c:v>19512.984633049186</c:v>
                </c:pt>
                <c:pt idx="40">
                  <c:v>19515.354013240481</c:v>
                </c:pt>
                <c:pt idx="41">
                  <c:v>19517.883204676724</c:v>
                </c:pt>
                <c:pt idx="42">
                  <c:v>19520.570223494185</c:v>
                </c:pt>
                <c:pt idx="43">
                  <c:v>19523.413118530185</c:v>
                </c:pt>
                <c:pt idx="44">
                  <c:v>19526.409970652072</c:v>
                </c:pt>
                <c:pt idx="45">
                  <c:v>19529.558892102661</c:v>
                </c:pt>
                <c:pt idx="46">
                  <c:v>19532.858025861657</c:v>
                </c:pt>
                <c:pt idx="47">
                  <c:v>19536.305545022609</c:v>
                </c:pt>
                <c:pt idx="48">
                  <c:v>19539.899652184955</c:v>
                </c:pt>
                <c:pt idx="49">
                  <c:v>19543.638578860737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95-4FCA-9869-4B86C31E6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1917104"/>
        <c:axId val="821918064"/>
      </c:scatterChart>
      <c:valAx>
        <c:axId val="821917104"/>
        <c:scaling>
          <c:orientation val="minMax"/>
          <c:max val="750"/>
          <c:min val="5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Order</a:t>
                </a:r>
                <a:r>
                  <a:rPr lang="en-IN" baseline="0"/>
                  <a:t> 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918064"/>
        <c:crosses val="autoZero"/>
        <c:crossBetween val="midCat"/>
      </c:valAx>
      <c:valAx>
        <c:axId val="82191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1009]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917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4329</xdr:colOff>
      <xdr:row>1</xdr:row>
      <xdr:rowOff>169718</xdr:rowOff>
    </xdr:from>
    <xdr:to>
      <xdr:col>18</xdr:col>
      <xdr:colOff>606135</xdr:colOff>
      <xdr:row>17</xdr:row>
      <xdr:rowOff>3464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CD851B-06E8-1A86-06D5-19D592382B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C14B1-A023-45F7-B68F-3B2D33F4971F}">
  <dimension ref="A1:G25"/>
  <sheetViews>
    <sheetView showGridLines="0" workbookViewId="0"/>
  </sheetViews>
  <sheetFormatPr defaultRowHeight="14.4" x14ac:dyDescent="0.3"/>
  <cols>
    <col min="1" max="1" width="2.33203125" customWidth="1"/>
    <col min="2" max="2" width="4.33203125" bestFit="1" customWidth="1"/>
    <col min="3" max="3" width="24.21875" bestFit="1" customWidth="1"/>
    <col min="4" max="4" width="12.5546875" bestFit="1" customWidth="1"/>
    <col min="5" max="5" width="10.109375" bestFit="1" customWidth="1"/>
    <col min="6" max="6" width="6.77734375" bestFit="1" customWidth="1"/>
  </cols>
  <sheetData>
    <row r="1" spans="1:5" x14ac:dyDescent="0.3">
      <c r="A1" s="4" t="s">
        <v>4</v>
      </c>
    </row>
    <row r="2" spans="1:5" x14ac:dyDescent="0.3">
      <c r="A2" s="4" t="s">
        <v>5</v>
      </c>
    </row>
    <row r="3" spans="1:5" x14ac:dyDescent="0.3">
      <c r="A3" s="4" t="s">
        <v>54</v>
      </c>
    </row>
    <row r="4" spans="1:5" x14ac:dyDescent="0.3">
      <c r="A4" s="4" t="s">
        <v>6</v>
      </c>
    </row>
    <row r="5" spans="1:5" x14ac:dyDescent="0.3">
      <c r="A5" s="4" t="s">
        <v>7</v>
      </c>
    </row>
    <row r="6" spans="1:5" x14ac:dyDescent="0.3">
      <c r="A6" s="4"/>
      <c r="B6" t="s">
        <v>8</v>
      </c>
    </row>
    <row r="7" spans="1:5" x14ac:dyDescent="0.3">
      <c r="A7" s="4"/>
      <c r="B7" t="s">
        <v>55</v>
      </c>
    </row>
    <row r="8" spans="1:5" x14ac:dyDescent="0.3">
      <c r="A8" s="4"/>
      <c r="B8" t="s">
        <v>9</v>
      </c>
    </row>
    <row r="9" spans="1:5" x14ac:dyDescent="0.3">
      <c r="A9" s="4" t="s">
        <v>10</v>
      </c>
    </row>
    <row r="10" spans="1:5" x14ac:dyDescent="0.3">
      <c r="B10" t="s">
        <v>11</v>
      </c>
    </row>
    <row r="11" spans="1:5" x14ac:dyDescent="0.3">
      <c r="B11" t="s">
        <v>12</v>
      </c>
    </row>
    <row r="12" spans="1:5" x14ac:dyDescent="0.3">
      <c r="B12" t="s">
        <v>13</v>
      </c>
    </row>
    <row r="14" spans="1:5" ht="15" thickBot="1" x14ac:dyDescent="0.35">
      <c r="A14" t="s">
        <v>14</v>
      </c>
    </row>
    <row r="15" spans="1:5" ht="15" thickBot="1" x14ac:dyDescent="0.35">
      <c r="B15" s="12" t="s">
        <v>15</v>
      </c>
      <c r="C15" s="12" t="s">
        <v>16</v>
      </c>
      <c r="D15" s="12" t="s">
        <v>17</v>
      </c>
      <c r="E15" s="12" t="s">
        <v>18</v>
      </c>
    </row>
    <row r="16" spans="1:5" ht="15" thickBot="1" x14ac:dyDescent="0.35">
      <c r="B16" s="11" t="s">
        <v>43</v>
      </c>
      <c r="C16" s="11" t="s">
        <v>44</v>
      </c>
      <c r="D16" s="13">
        <v>17060.480649735517</v>
      </c>
      <c r="E16" s="13">
        <v>17060.480649735517</v>
      </c>
    </row>
    <row r="19" spans="1:7" ht="15" thickBot="1" x14ac:dyDescent="0.35">
      <c r="A19" t="s">
        <v>19</v>
      </c>
    </row>
    <row r="20" spans="1:7" ht="15" thickBot="1" x14ac:dyDescent="0.35">
      <c r="B20" s="12" t="s">
        <v>15</v>
      </c>
      <c r="C20" s="12" t="s">
        <v>16</v>
      </c>
      <c r="D20" s="12" t="s">
        <v>17</v>
      </c>
      <c r="E20" s="12" t="s">
        <v>18</v>
      </c>
      <c r="F20" s="12" t="s">
        <v>20</v>
      </c>
    </row>
    <row r="21" spans="1:7" ht="15" thickBot="1" x14ac:dyDescent="0.35">
      <c r="B21" s="11" t="s">
        <v>45</v>
      </c>
      <c r="C21" s="11" t="s">
        <v>46</v>
      </c>
      <c r="D21" s="14">
        <v>677.00320038633004</v>
      </c>
      <c r="E21" s="14">
        <v>677.00320038633004</v>
      </c>
      <c r="F21" s="11" t="s">
        <v>23</v>
      </c>
    </row>
    <row r="24" spans="1:7" ht="15" thickBot="1" x14ac:dyDescent="0.35">
      <c r="A24" t="s">
        <v>21</v>
      </c>
    </row>
    <row r="25" spans="1:7" ht="15" thickBot="1" x14ac:dyDescent="0.35">
      <c r="B25" s="15" t="s">
        <v>22</v>
      </c>
      <c r="C25" s="15"/>
      <c r="D25" s="15"/>
      <c r="E25" s="15"/>
      <c r="F25" s="15"/>
      <c r="G25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9169D-88DE-4C5B-968E-38A4FA58B3AE}">
  <dimension ref="A1:E12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24.21875" bestFit="1" customWidth="1"/>
    <col min="4" max="4" width="12" bestFit="1" customWidth="1"/>
    <col min="5" max="5" width="8.33203125" bestFit="1" customWidth="1"/>
  </cols>
  <sheetData>
    <row r="1" spans="1:5" x14ac:dyDescent="0.3">
      <c r="A1" s="4" t="s">
        <v>24</v>
      </c>
    </row>
    <row r="2" spans="1:5" x14ac:dyDescent="0.3">
      <c r="A2" s="4" t="s">
        <v>5</v>
      </c>
    </row>
    <row r="3" spans="1:5" x14ac:dyDescent="0.3">
      <c r="A3" s="4" t="s">
        <v>54</v>
      </c>
    </row>
    <row r="6" spans="1:5" ht="15" thickBot="1" x14ac:dyDescent="0.35">
      <c r="A6" t="s">
        <v>19</v>
      </c>
    </row>
    <row r="7" spans="1:5" x14ac:dyDescent="0.3">
      <c r="B7" s="16"/>
      <c r="C7" s="16"/>
      <c r="D7" s="16" t="s">
        <v>25</v>
      </c>
      <c r="E7" s="16" t="s">
        <v>27</v>
      </c>
    </row>
    <row r="8" spans="1:5" ht="15" thickBot="1" x14ac:dyDescent="0.35">
      <c r="B8" s="17" t="s">
        <v>15</v>
      </c>
      <c r="C8" s="17" t="s">
        <v>16</v>
      </c>
      <c r="D8" s="17" t="s">
        <v>26</v>
      </c>
      <c r="E8" s="17" t="s">
        <v>28</v>
      </c>
    </row>
    <row r="9" spans="1:5" ht="15" thickBot="1" x14ac:dyDescent="0.35">
      <c r="B9" s="11" t="s">
        <v>45</v>
      </c>
      <c r="C9" s="11" t="s">
        <v>46</v>
      </c>
      <c r="D9" s="11">
        <v>677.00320038633004</v>
      </c>
      <c r="E9" s="11">
        <v>0</v>
      </c>
    </row>
    <row r="11" spans="1:5" x14ac:dyDescent="0.3">
      <c r="A11" t="s">
        <v>21</v>
      </c>
    </row>
    <row r="12" spans="1:5" x14ac:dyDescent="0.3">
      <c r="B1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EA8-1FA0-423E-BE00-8A5AC3BB2689}">
  <dimension ref="A1:J13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24.21875" bestFit="1" customWidth="1"/>
    <col min="4" max="4" width="10.109375" bestFit="1" customWidth="1"/>
    <col min="5" max="5" width="2.33203125" customWidth="1"/>
    <col min="6" max="6" width="5.88671875" bestFit="1" customWidth="1"/>
    <col min="7" max="7" width="9.109375" bestFit="1" customWidth="1"/>
    <col min="8" max="8" width="2.33203125" customWidth="1"/>
    <col min="9" max="9" width="6.109375" bestFit="1" customWidth="1"/>
    <col min="10" max="10" width="9.109375" bestFit="1" customWidth="1"/>
  </cols>
  <sheetData>
    <row r="1" spans="1:10" x14ac:dyDescent="0.3">
      <c r="A1" s="4" t="s">
        <v>47</v>
      </c>
    </row>
    <row r="2" spans="1:10" x14ac:dyDescent="0.3">
      <c r="A2" s="4" t="s">
        <v>5</v>
      </c>
    </row>
    <row r="3" spans="1:10" x14ac:dyDescent="0.3">
      <c r="A3" s="4" t="s">
        <v>54</v>
      </c>
    </row>
    <row r="5" spans="1:10" ht="15" thickBot="1" x14ac:dyDescent="0.35"/>
    <row r="6" spans="1:10" x14ac:dyDescent="0.3">
      <c r="B6" s="16"/>
      <c r="C6" s="16" t="s">
        <v>48</v>
      </c>
      <c r="D6" s="16"/>
    </row>
    <row r="7" spans="1:10" ht="15" thickBot="1" x14ac:dyDescent="0.35">
      <c r="B7" s="17" t="s">
        <v>15</v>
      </c>
      <c r="C7" s="17" t="s">
        <v>16</v>
      </c>
      <c r="D7" s="17" t="s">
        <v>26</v>
      </c>
    </row>
    <row r="8" spans="1:10" ht="15" thickBot="1" x14ac:dyDescent="0.35">
      <c r="B8" s="11" t="s">
        <v>43</v>
      </c>
      <c r="C8" s="11" t="s">
        <v>44</v>
      </c>
      <c r="D8" s="13">
        <v>17060.480649735517</v>
      </c>
    </row>
    <row r="10" spans="1:10" ht="15" thickBot="1" x14ac:dyDescent="0.35"/>
    <row r="11" spans="1:10" x14ac:dyDescent="0.3">
      <c r="B11" s="16"/>
      <c r="C11" s="16" t="s">
        <v>49</v>
      </c>
      <c r="D11" s="16"/>
      <c r="F11" s="16" t="s">
        <v>50</v>
      </c>
      <c r="G11" s="16" t="s">
        <v>48</v>
      </c>
      <c r="I11" s="16" t="s">
        <v>53</v>
      </c>
      <c r="J11" s="16" t="s">
        <v>48</v>
      </c>
    </row>
    <row r="12" spans="1:10" ht="15" thickBot="1" x14ac:dyDescent="0.35">
      <c r="B12" s="17" t="s">
        <v>15</v>
      </c>
      <c r="C12" s="17" t="s">
        <v>16</v>
      </c>
      <c r="D12" s="17" t="s">
        <v>26</v>
      </c>
      <c r="F12" s="17" t="s">
        <v>51</v>
      </c>
      <c r="G12" s="17" t="s">
        <v>52</v>
      </c>
      <c r="I12" s="17" t="s">
        <v>51</v>
      </c>
      <c r="J12" s="17" t="s">
        <v>52</v>
      </c>
    </row>
    <row r="13" spans="1:10" ht="15" thickBot="1" x14ac:dyDescent="0.35">
      <c r="B13" s="11" t="s">
        <v>45</v>
      </c>
      <c r="C13" s="11" t="s">
        <v>46</v>
      </c>
      <c r="D13" s="14">
        <v>677.00320038633004</v>
      </c>
      <c r="F13" s="14">
        <v>0</v>
      </c>
      <c r="G13" s="14">
        <v>17060.480649735517</v>
      </c>
      <c r="I13" s="11" t="e">
        <v>#N/A</v>
      </c>
      <c r="J13" s="11" t="e"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90DA7-D130-4A33-BBB6-2D9A4B364F0F}">
  <dimension ref="A1:AF103"/>
  <sheetViews>
    <sheetView tabSelected="1" zoomScale="118" workbookViewId="0">
      <selection activeCell="U23" sqref="U23"/>
    </sheetView>
  </sheetViews>
  <sheetFormatPr defaultRowHeight="14.4" x14ac:dyDescent="0.3"/>
  <cols>
    <col min="1" max="1" width="28" customWidth="1"/>
    <col min="2" max="2" width="29" customWidth="1"/>
    <col min="3" max="3" width="10.109375" bestFit="1" customWidth="1"/>
    <col min="4" max="4" width="9.44140625" customWidth="1"/>
    <col min="6" max="6" width="13.77734375" customWidth="1"/>
    <col min="7" max="7" width="18.44140625" customWidth="1"/>
    <col min="8" max="9" width="19.109375" customWidth="1"/>
    <col min="10" max="10" width="12.109375" customWidth="1"/>
    <col min="20" max="20" width="6.109375" customWidth="1"/>
    <col min="21" max="21" width="13.44140625" customWidth="1"/>
    <col min="22" max="22" width="11.88671875" customWidth="1"/>
    <col min="23" max="23" width="10.44140625" bestFit="1" customWidth="1"/>
    <col min="24" max="31" width="10.88671875" bestFit="1" customWidth="1"/>
    <col min="32" max="32" width="10.77734375" bestFit="1" customWidth="1"/>
  </cols>
  <sheetData>
    <row r="1" spans="1:32" x14ac:dyDescent="0.3">
      <c r="V1" s="25" t="s">
        <v>32</v>
      </c>
      <c r="W1" s="25"/>
      <c r="X1" s="25"/>
      <c r="Y1" s="25"/>
      <c r="Z1" s="25"/>
      <c r="AA1" s="25"/>
      <c r="AB1" s="25"/>
      <c r="AC1" s="25"/>
      <c r="AD1" s="25"/>
      <c r="AE1" s="25"/>
      <c r="AF1" s="25"/>
    </row>
    <row r="2" spans="1:32" x14ac:dyDescent="0.3">
      <c r="A2" s="23" t="s">
        <v>33</v>
      </c>
      <c r="B2" s="23" t="s">
        <v>34</v>
      </c>
      <c r="C2" s="23" t="s">
        <v>26</v>
      </c>
      <c r="D2" s="24"/>
      <c r="E2" s="24"/>
      <c r="F2" s="23" t="s">
        <v>0</v>
      </c>
      <c r="G2" s="23" t="s">
        <v>30</v>
      </c>
      <c r="H2" s="23" t="s">
        <v>29</v>
      </c>
      <c r="I2" s="23" t="s">
        <v>1</v>
      </c>
      <c r="J2" s="23" t="s">
        <v>2</v>
      </c>
      <c r="V2" s="7">
        <f>C15</f>
        <v>19497.692171126306</v>
      </c>
      <c r="W2" s="7" cm="1">
        <f t="array" ref="W2:AE2">_xlfn.SEQUENCE(1,9,200,100)</f>
        <v>200</v>
      </c>
      <c r="X2" s="7">
        <v>300</v>
      </c>
      <c r="Y2" s="7">
        <v>400</v>
      </c>
      <c r="Z2" s="7">
        <v>500</v>
      </c>
      <c r="AA2" s="7">
        <v>600</v>
      </c>
      <c r="AB2" s="7">
        <v>700</v>
      </c>
      <c r="AC2" s="7">
        <v>800</v>
      </c>
      <c r="AD2" s="7">
        <v>900</v>
      </c>
      <c r="AE2" s="7">
        <v>1000</v>
      </c>
      <c r="AF2" s="7"/>
    </row>
    <row r="3" spans="1:32" x14ac:dyDescent="0.3">
      <c r="A3" s="5" t="s">
        <v>38</v>
      </c>
      <c r="B3" s="5"/>
      <c r="C3" s="5">
        <v>15000</v>
      </c>
      <c r="F3" s="5" cm="1">
        <f t="array" ref="F3:F52">_xlfn.SEQUENCE(50,1,599,3)</f>
        <v>599</v>
      </c>
      <c r="G3" s="8">
        <f>$C$3/F3</f>
        <v>25.041736227045075</v>
      </c>
      <c r="H3" s="7">
        <f>$C$6*($C$3/F3)</f>
        <v>5509.1819699499165</v>
      </c>
      <c r="I3" s="7">
        <f>$C$4*$C$5*(($C$9+F3)/2)</f>
        <v>14061.64608556315</v>
      </c>
      <c r="J3" s="7">
        <f>I3+H3</f>
        <v>19570.828055513066</v>
      </c>
      <c r="U3" s="26" t="s">
        <v>31</v>
      </c>
      <c r="V3" s="5" cm="1">
        <f t="array" ref="V3:V16">_xlfn.SEQUENCE(14,1,1000,250)</f>
        <v>1000</v>
      </c>
      <c r="W3" s="7">
        <f t="dataTable" ref="W3:AE16" dt2D="1" dtr="1" r1="C3" r2="C6"/>
        <v>14918.688706695126</v>
      </c>
      <c r="X3" s="7">
        <v>15066.398495870326</v>
      </c>
      <c r="Y3" s="7">
        <v>15214.108285045524</v>
      </c>
      <c r="Z3" s="7">
        <v>15361.818074220724</v>
      </c>
      <c r="AA3" s="7">
        <v>15509.527863395922</v>
      </c>
      <c r="AB3" s="7">
        <v>15657.237652571122</v>
      </c>
      <c r="AC3" s="7">
        <v>15804.947441746323</v>
      </c>
      <c r="AD3" s="7">
        <v>15952.657230921521</v>
      </c>
      <c r="AE3" s="7">
        <v>16100.367020096721</v>
      </c>
      <c r="AF3" s="7"/>
    </row>
    <row r="4" spans="1:32" x14ac:dyDescent="0.3">
      <c r="A4" s="5" t="s">
        <v>39</v>
      </c>
      <c r="B4" s="5"/>
      <c r="C4" s="7">
        <v>80</v>
      </c>
      <c r="D4" s="3"/>
      <c r="F4" s="5">
        <v>602</v>
      </c>
      <c r="G4" s="8">
        <f t="shared" ref="G4:G52" si="0">$C$3/F4</f>
        <v>24.916943521594686</v>
      </c>
      <c r="H4" s="7">
        <f t="shared" ref="H4:H52" si="1">$C$6*($C$3/F4)</f>
        <v>5481.7275747508311</v>
      </c>
      <c r="I4" s="7">
        <f t="shared" ref="I4:I52" si="2">$C$4*$C$5*(($C$9+F4)/2)</f>
        <v>14083.246085563151</v>
      </c>
      <c r="J4" s="7">
        <f t="shared" ref="J4:J52" si="3">I4+H4</f>
        <v>19564.973660313983</v>
      </c>
      <c r="U4" s="26"/>
      <c r="V4" s="5">
        <v>1250</v>
      </c>
      <c r="W4" s="7">
        <v>14992.543601282725</v>
      </c>
      <c r="X4" s="7">
        <v>15177.180837751725</v>
      </c>
      <c r="Y4" s="7">
        <v>15361.818074220724</v>
      </c>
      <c r="Z4" s="7">
        <v>15546.455310689724</v>
      </c>
      <c r="AA4" s="7">
        <v>15731.092547158722</v>
      </c>
      <c r="AB4" s="7">
        <v>15915.729783627721</v>
      </c>
      <c r="AC4" s="7">
        <v>16100.367020096721</v>
      </c>
      <c r="AD4" s="7">
        <v>16285.00425656572</v>
      </c>
      <c r="AE4" s="7">
        <v>16469.64149303472</v>
      </c>
      <c r="AF4" s="7"/>
    </row>
    <row r="5" spans="1:32" x14ac:dyDescent="0.3">
      <c r="A5" s="5" t="s">
        <v>40</v>
      </c>
      <c r="B5" s="5"/>
      <c r="C5" s="9">
        <v>0.18</v>
      </c>
      <c r="D5" s="1"/>
      <c r="F5" s="5">
        <v>605</v>
      </c>
      <c r="G5" s="8">
        <f t="shared" si="0"/>
        <v>24.793388429752067</v>
      </c>
      <c r="H5" s="7">
        <f t="shared" si="1"/>
        <v>5454.545454545455</v>
      </c>
      <c r="I5" s="7">
        <f t="shared" si="2"/>
        <v>14104.846085563151</v>
      </c>
      <c r="J5" s="7">
        <f t="shared" si="3"/>
        <v>19559.391540108605</v>
      </c>
      <c r="U5" s="26"/>
      <c r="V5" s="5">
        <v>1500</v>
      </c>
      <c r="W5" s="7">
        <v>15066.398495870326</v>
      </c>
      <c r="X5" s="7">
        <v>15287.963179633125</v>
      </c>
      <c r="Y5" s="7">
        <v>15509.527863395922</v>
      </c>
      <c r="Z5" s="7">
        <v>15731.092547158722</v>
      </c>
      <c r="AA5" s="7">
        <v>15952.657230921521</v>
      </c>
      <c r="AB5" s="7">
        <v>16174.22191468432</v>
      </c>
      <c r="AC5" s="7">
        <v>16395.786598447117</v>
      </c>
      <c r="AD5" s="7">
        <v>16617.351282209918</v>
      </c>
      <c r="AE5" s="7">
        <v>16838.915965972716</v>
      </c>
      <c r="AF5" s="7"/>
    </row>
    <row r="6" spans="1:32" x14ac:dyDescent="0.3">
      <c r="A6" s="5" t="s">
        <v>41</v>
      </c>
      <c r="B6" s="5"/>
      <c r="C6" s="7">
        <v>220</v>
      </c>
      <c r="D6" s="3"/>
      <c r="F6" s="5">
        <v>608</v>
      </c>
      <c r="G6" s="8">
        <f t="shared" si="0"/>
        <v>24.671052631578949</v>
      </c>
      <c r="H6" s="7">
        <f t="shared" si="1"/>
        <v>5427.6315789473683</v>
      </c>
      <c r="I6" s="7">
        <f t="shared" si="2"/>
        <v>14126.446085563151</v>
      </c>
      <c r="J6" s="7">
        <f t="shared" si="3"/>
        <v>19554.077664510522</v>
      </c>
      <c r="U6" s="26"/>
      <c r="V6" s="5">
        <v>1750</v>
      </c>
      <c r="W6" s="7">
        <v>15140.253390457925</v>
      </c>
      <c r="X6" s="7">
        <v>15398.745521514524</v>
      </c>
      <c r="Y6" s="7">
        <v>15657.237652571122</v>
      </c>
      <c r="Z6" s="7">
        <v>15915.729783627721</v>
      </c>
      <c r="AA6" s="7">
        <v>16174.22191468432</v>
      </c>
      <c r="AB6" s="7">
        <v>16432.714045740919</v>
      </c>
      <c r="AC6" s="7">
        <v>16691.206176797517</v>
      </c>
      <c r="AD6" s="7">
        <v>16949.698307854116</v>
      </c>
      <c r="AE6" s="7">
        <v>17208.190438910715</v>
      </c>
      <c r="AF6" s="7"/>
    </row>
    <row r="7" spans="1:32" x14ac:dyDescent="0.3">
      <c r="A7" s="5"/>
      <c r="B7" s="5"/>
      <c r="C7" s="5"/>
      <c r="F7" s="5">
        <v>611</v>
      </c>
      <c r="G7" s="8">
        <f t="shared" si="0"/>
        <v>24.549918166939445</v>
      </c>
      <c r="H7" s="7">
        <f t="shared" si="1"/>
        <v>5400.9819967266776</v>
      </c>
      <c r="I7" s="7">
        <f t="shared" si="2"/>
        <v>14148.046085563152</v>
      </c>
      <c r="J7" s="7">
        <f t="shared" si="3"/>
        <v>19549.028082289828</v>
      </c>
      <c r="U7" s="26"/>
      <c r="V7" s="5">
        <v>2000</v>
      </c>
      <c r="W7" s="7">
        <v>15214.108285045524</v>
      </c>
      <c r="X7" s="7">
        <v>15509.527863395922</v>
      </c>
      <c r="Y7" s="7">
        <v>15804.947441746323</v>
      </c>
      <c r="Z7" s="7">
        <v>16100.367020096721</v>
      </c>
      <c r="AA7" s="7">
        <v>16395.786598447117</v>
      </c>
      <c r="AB7" s="7">
        <v>16691.206176797517</v>
      </c>
      <c r="AC7" s="7">
        <v>16986.625755147918</v>
      </c>
      <c r="AD7" s="7">
        <v>17282.045333498314</v>
      </c>
      <c r="AE7" s="7">
        <v>17577.464911848714</v>
      </c>
      <c r="AF7" s="7"/>
    </row>
    <row r="8" spans="1:32" x14ac:dyDescent="0.3">
      <c r="A8" s="6" t="s">
        <v>0</v>
      </c>
      <c r="B8" s="6" t="s">
        <v>35</v>
      </c>
      <c r="C8" s="18">
        <v>677.00320038633004</v>
      </c>
      <c r="D8" s="2"/>
      <c r="F8" s="5">
        <v>614</v>
      </c>
      <c r="G8" s="8">
        <f t="shared" si="0"/>
        <v>24.429967426710096</v>
      </c>
      <c r="H8" s="7">
        <f t="shared" si="1"/>
        <v>5374.5928338762214</v>
      </c>
      <c r="I8" s="7">
        <f t="shared" si="2"/>
        <v>14169.64608556315</v>
      </c>
      <c r="J8" s="7">
        <f t="shared" si="3"/>
        <v>19544.238919439373</v>
      </c>
      <c r="U8" s="26"/>
      <c r="V8" s="5">
        <v>2250</v>
      </c>
      <c r="W8" s="7">
        <v>15287.963179633125</v>
      </c>
      <c r="X8" s="7">
        <v>15620.310205277323</v>
      </c>
      <c r="Y8" s="7">
        <v>15952.657230921521</v>
      </c>
      <c r="Z8" s="7">
        <v>16285.00425656572</v>
      </c>
      <c r="AA8" s="7">
        <v>16617.351282209918</v>
      </c>
      <c r="AB8" s="7">
        <v>16949.698307854116</v>
      </c>
      <c r="AC8" s="7">
        <v>17282.045333498314</v>
      </c>
      <c r="AD8" s="7">
        <v>17614.392359142512</v>
      </c>
      <c r="AE8" s="7">
        <v>17946.739384786713</v>
      </c>
      <c r="AF8" s="7"/>
    </row>
    <row r="9" spans="1:32" x14ac:dyDescent="0.3">
      <c r="A9" s="6" t="s">
        <v>57</v>
      </c>
      <c r="B9" s="6" t="s">
        <v>36</v>
      </c>
      <c r="C9" s="18">
        <f>C8*2</f>
        <v>1354.0064007726601</v>
      </c>
      <c r="D9" s="2"/>
      <c r="F9" s="5">
        <v>617</v>
      </c>
      <c r="G9" s="8">
        <f t="shared" si="0"/>
        <v>24.311183144246353</v>
      </c>
      <c r="H9" s="7">
        <f t="shared" si="1"/>
        <v>5348.4602917341981</v>
      </c>
      <c r="I9" s="7">
        <f t="shared" si="2"/>
        <v>14191.246085563151</v>
      </c>
      <c r="J9" s="7">
        <f t="shared" si="3"/>
        <v>19539.706377297349</v>
      </c>
      <c r="U9" s="26"/>
      <c r="V9" s="5">
        <v>2500</v>
      </c>
      <c r="W9" s="7">
        <v>15361.818074220724</v>
      </c>
      <c r="X9" s="7">
        <v>15731.092547158722</v>
      </c>
      <c r="Y9" s="7">
        <v>16100.367020096721</v>
      </c>
      <c r="Z9" s="7">
        <v>16469.64149303472</v>
      </c>
      <c r="AA9" s="7">
        <v>16838.915965972716</v>
      </c>
      <c r="AB9" s="7">
        <v>17208.190438910715</v>
      </c>
      <c r="AC9" s="7">
        <v>17577.464911848714</v>
      </c>
      <c r="AD9" s="7">
        <v>17946.739384786713</v>
      </c>
      <c r="AE9" s="7">
        <v>18316.013857724709</v>
      </c>
      <c r="AF9" s="7"/>
    </row>
    <row r="10" spans="1:32" x14ac:dyDescent="0.3">
      <c r="A10" s="5" t="s">
        <v>3</v>
      </c>
      <c r="B10" s="5"/>
      <c r="C10" s="8">
        <f>C3/C8</f>
        <v>22.156468376279893</v>
      </c>
      <c r="D10" s="2"/>
      <c r="F10" s="5">
        <v>620</v>
      </c>
      <c r="G10" s="8">
        <f t="shared" si="0"/>
        <v>24.193548387096776</v>
      </c>
      <c r="H10" s="7">
        <f t="shared" si="1"/>
        <v>5322.5806451612907</v>
      </c>
      <c r="I10" s="7">
        <f t="shared" si="2"/>
        <v>14212.846085563151</v>
      </c>
      <c r="J10" s="7">
        <f t="shared" si="3"/>
        <v>19535.426730724441</v>
      </c>
      <c r="U10" s="26"/>
      <c r="V10" s="5">
        <v>2750</v>
      </c>
      <c r="W10" s="7">
        <v>15435.672968808323</v>
      </c>
      <c r="X10" s="7">
        <v>15841.874889040122</v>
      </c>
      <c r="Y10" s="7">
        <v>16248.076809271919</v>
      </c>
      <c r="Z10" s="7">
        <v>16654.278729503716</v>
      </c>
      <c r="AA10" s="7">
        <v>17060.480649735517</v>
      </c>
      <c r="AB10" s="7">
        <v>17466.682569967314</v>
      </c>
      <c r="AC10" s="7">
        <v>17872.884490199111</v>
      </c>
      <c r="AD10" s="7">
        <v>18279.086410430911</v>
      </c>
      <c r="AE10" s="7">
        <v>18685.288330662708</v>
      </c>
      <c r="AF10" s="7"/>
    </row>
    <row r="11" spans="1:32" x14ac:dyDescent="0.3">
      <c r="A11" s="6" t="s">
        <v>42</v>
      </c>
      <c r="B11" s="6" t="s">
        <v>59</v>
      </c>
      <c r="C11" s="18">
        <v>677.00320038633004</v>
      </c>
      <c r="D11" s="2"/>
      <c r="F11" s="5">
        <v>623</v>
      </c>
      <c r="G11" s="8">
        <f t="shared" si="0"/>
        <v>24.077046548956663</v>
      </c>
      <c r="H11" s="7">
        <f t="shared" si="1"/>
        <v>5296.9502407704658</v>
      </c>
      <c r="I11" s="7">
        <f t="shared" si="2"/>
        <v>14234.446085563151</v>
      </c>
      <c r="J11" s="7">
        <f t="shared" si="3"/>
        <v>19531.396326333619</v>
      </c>
      <c r="U11" s="26"/>
      <c r="V11" s="5">
        <v>3000</v>
      </c>
      <c r="W11" s="7">
        <v>15509.527863395922</v>
      </c>
      <c r="X11" s="7">
        <v>15952.657230921521</v>
      </c>
      <c r="Y11" s="7">
        <v>16395.786598447117</v>
      </c>
      <c r="Z11" s="7">
        <v>16838.915965972716</v>
      </c>
      <c r="AA11" s="7">
        <v>17282.045333498314</v>
      </c>
      <c r="AB11" s="7">
        <v>17725.174701023912</v>
      </c>
      <c r="AC11" s="7">
        <v>18168.304068549511</v>
      </c>
      <c r="AD11" s="7">
        <v>18611.433436075109</v>
      </c>
      <c r="AE11" s="7">
        <v>19054.562803600704</v>
      </c>
      <c r="AF11" s="7"/>
    </row>
    <row r="12" spans="1:32" x14ac:dyDescent="0.3">
      <c r="A12" s="5"/>
      <c r="B12" s="5"/>
      <c r="C12" s="5"/>
      <c r="F12" s="5">
        <v>626</v>
      </c>
      <c r="G12" s="8">
        <f t="shared" si="0"/>
        <v>23.961661341853034</v>
      </c>
      <c r="H12" s="7">
        <f t="shared" si="1"/>
        <v>5271.5654952076675</v>
      </c>
      <c r="I12" s="7">
        <f t="shared" si="2"/>
        <v>14256.046085563152</v>
      </c>
      <c r="J12" s="7">
        <f t="shared" si="3"/>
        <v>19527.611580770819</v>
      </c>
      <c r="U12" s="26"/>
      <c r="V12" s="5">
        <v>3250</v>
      </c>
      <c r="W12" s="7">
        <v>15583.382757983523</v>
      </c>
      <c r="X12" s="7">
        <v>16063.439572802921</v>
      </c>
      <c r="Y12" s="7">
        <v>16543.496387622319</v>
      </c>
      <c r="Z12" s="7">
        <v>17023.553202441715</v>
      </c>
      <c r="AA12" s="7">
        <v>17503.610017261115</v>
      </c>
      <c r="AB12" s="7">
        <v>17983.666832080511</v>
      </c>
      <c r="AC12" s="7">
        <v>18463.723646899911</v>
      </c>
      <c r="AD12" s="7">
        <v>18943.780461719307</v>
      </c>
      <c r="AE12" s="7">
        <v>19423.837276538703</v>
      </c>
      <c r="AF12" s="7"/>
    </row>
    <row r="13" spans="1:32" x14ac:dyDescent="0.3">
      <c r="A13" s="5" t="s">
        <v>29</v>
      </c>
      <c r="B13" s="5" t="s">
        <v>58</v>
      </c>
      <c r="C13" s="7">
        <f>C6*(C3/C8)</f>
        <v>4874.4230427815764</v>
      </c>
      <c r="D13" s="3"/>
      <c r="F13" s="5">
        <v>629</v>
      </c>
      <c r="G13" s="8">
        <f t="shared" si="0"/>
        <v>23.847376788553259</v>
      </c>
      <c r="H13" s="7">
        <f t="shared" si="1"/>
        <v>5246.4228934817165</v>
      </c>
      <c r="I13" s="7">
        <f t="shared" si="2"/>
        <v>14277.64608556315</v>
      </c>
      <c r="J13" s="7">
        <f t="shared" si="3"/>
        <v>19524.068979044867</v>
      </c>
      <c r="U13" s="26"/>
      <c r="V13" s="5">
        <v>3500</v>
      </c>
      <c r="W13" s="7">
        <v>15657.237652571122</v>
      </c>
      <c r="X13" s="7">
        <v>16174.22191468432</v>
      </c>
      <c r="Y13" s="7">
        <v>16691.206176797517</v>
      </c>
      <c r="Z13" s="7">
        <v>17208.190438910715</v>
      </c>
      <c r="AA13" s="7">
        <v>17725.174701023912</v>
      </c>
      <c r="AB13" s="7">
        <v>18242.15896313711</v>
      </c>
      <c r="AC13" s="7">
        <v>18759.143225250307</v>
      </c>
      <c r="AD13" s="7">
        <v>19276.127487363505</v>
      </c>
      <c r="AE13" s="7">
        <v>19793.111749476702</v>
      </c>
      <c r="AF13" s="7"/>
    </row>
    <row r="14" spans="1:32" x14ac:dyDescent="0.3">
      <c r="A14" s="5" t="s">
        <v>1</v>
      </c>
      <c r="B14" s="5" t="s">
        <v>56</v>
      </c>
      <c r="C14" s="7">
        <f>C5*C4*((C8+C9)/2)</f>
        <v>14623.269128344728</v>
      </c>
      <c r="D14" s="3"/>
      <c r="F14" s="5">
        <v>632</v>
      </c>
      <c r="G14" s="8">
        <f t="shared" si="0"/>
        <v>23.734177215189874</v>
      </c>
      <c r="H14" s="7">
        <f t="shared" si="1"/>
        <v>5221.5189873417721</v>
      </c>
      <c r="I14" s="7">
        <f t="shared" si="2"/>
        <v>14299.246085563151</v>
      </c>
      <c r="J14" s="7">
        <f t="shared" si="3"/>
        <v>19520.765072904924</v>
      </c>
      <c r="U14" s="26"/>
      <c r="V14" s="5">
        <v>3750</v>
      </c>
      <c r="W14" s="7">
        <v>15731.092547158722</v>
      </c>
      <c r="X14" s="7">
        <v>16285.00425656572</v>
      </c>
      <c r="Y14" s="7">
        <v>16838.915965972716</v>
      </c>
      <c r="Z14" s="7">
        <v>17392.827675379714</v>
      </c>
      <c r="AA14" s="7">
        <v>17946.739384786713</v>
      </c>
      <c r="AB14" s="7">
        <v>18500.651094193709</v>
      </c>
      <c r="AC14" s="7">
        <v>19054.562803600704</v>
      </c>
      <c r="AD14" s="7">
        <v>19608.474513007703</v>
      </c>
      <c r="AE14" s="7">
        <v>20162.386222414701</v>
      </c>
    </row>
    <row r="15" spans="1:32" x14ac:dyDescent="0.3">
      <c r="A15" s="6" t="s">
        <v>2</v>
      </c>
      <c r="B15" s="6" t="s">
        <v>37</v>
      </c>
      <c r="C15" s="19">
        <f>C13+C14</f>
        <v>19497.692171126306</v>
      </c>
      <c r="D15" s="3"/>
      <c r="F15" s="5">
        <v>635</v>
      </c>
      <c r="G15" s="8">
        <f t="shared" si="0"/>
        <v>23.622047244094489</v>
      </c>
      <c r="H15" s="7">
        <f t="shared" si="1"/>
        <v>5196.8503937007872</v>
      </c>
      <c r="I15" s="7">
        <f t="shared" si="2"/>
        <v>14320.846085563151</v>
      </c>
      <c r="J15" s="7">
        <f t="shared" si="3"/>
        <v>19517.696479263937</v>
      </c>
      <c r="U15" s="26"/>
      <c r="V15" s="5">
        <v>4000</v>
      </c>
      <c r="W15" s="7">
        <v>15804.947441746323</v>
      </c>
      <c r="X15" s="7">
        <v>16395.786598447117</v>
      </c>
      <c r="Y15" s="7">
        <v>16986.625755147918</v>
      </c>
      <c r="Z15" s="7">
        <v>17577.464911848714</v>
      </c>
      <c r="AA15" s="7">
        <v>18168.304068549511</v>
      </c>
      <c r="AB15" s="7">
        <v>18759.143225250307</v>
      </c>
      <c r="AC15" s="7">
        <v>19349.982381951104</v>
      </c>
      <c r="AD15" s="7">
        <v>19940.8215386519</v>
      </c>
      <c r="AE15" s="7">
        <v>20531.660695352701</v>
      </c>
    </row>
    <row r="16" spans="1:32" x14ac:dyDescent="0.3">
      <c r="F16" s="5">
        <v>638</v>
      </c>
      <c r="G16" s="8">
        <f t="shared" si="0"/>
        <v>23.510971786833856</v>
      </c>
      <c r="H16" s="7">
        <f t="shared" si="1"/>
        <v>5172.4137931034484</v>
      </c>
      <c r="I16" s="7">
        <f t="shared" si="2"/>
        <v>14342.446085563151</v>
      </c>
      <c r="J16" s="7">
        <f t="shared" si="3"/>
        <v>19514.859878666601</v>
      </c>
      <c r="U16" s="26"/>
      <c r="V16" s="5">
        <v>4250</v>
      </c>
      <c r="W16" s="7">
        <v>15878.802336333922</v>
      </c>
      <c r="X16" s="7">
        <v>16506.568940328518</v>
      </c>
      <c r="Y16" s="7">
        <v>17134.335544323116</v>
      </c>
      <c r="Z16" s="7">
        <v>17762.102148317714</v>
      </c>
      <c r="AA16" s="7">
        <v>18389.868752312308</v>
      </c>
      <c r="AB16" s="7">
        <v>19017.635356306906</v>
      </c>
      <c r="AC16" s="7">
        <v>19645.401960301504</v>
      </c>
      <c r="AD16" s="7">
        <v>20273.168564296102</v>
      </c>
      <c r="AE16" s="7">
        <v>20900.935168290696</v>
      </c>
    </row>
    <row r="17" spans="1:22" x14ac:dyDescent="0.3">
      <c r="F17" s="5">
        <v>641</v>
      </c>
      <c r="G17" s="8">
        <f t="shared" si="0"/>
        <v>23.400936037441497</v>
      </c>
      <c r="H17" s="7">
        <f t="shared" si="1"/>
        <v>5148.2059282371292</v>
      </c>
      <c r="I17" s="7">
        <f t="shared" si="2"/>
        <v>14364.046085563152</v>
      </c>
      <c r="J17" s="7">
        <f t="shared" si="3"/>
        <v>19512.25201380028</v>
      </c>
      <c r="V17" s="5"/>
    </row>
    <row r="18" spans="1:22" ht="14.4" customHeight="1" x14ac:dyDescent="0.4">
      <c r="A18" s="10"/>
      <c r="B18" s="4"/>
      <c r="C18" s="4"/>
      <c r="F18" s="5">
        <v>644</v>
      </c>
      <c r="G18" s="8">
        <f t="shared" si="0"/>
        <v>23.29192546583851</v>
      </c>
      <c r="H18" s="7">
        <f t="shared" si="1"/>
        <v>5124.2236024844724</v>
      </c>
      <c r="I18" s="7">
        <f t="shared" si="2"/>
        <v>14385.64608556315</v>
      </c>
      <c r="J18" s="7">
        <f t="shared" si="3"/>
        <v>19509.869688047624</v>
      </c>
      <c r="V18" s="5"/>
    </row>
    <row r="19" spans="1:22" x14ac:dyDescent="0.3">
      <c r="A19" s="4"/>
      <c r="B19" s="4"/>
      <c r="C19" s="4"/>
      <c r="F19" s="5">
        <v>647</v>
      </c>
      <c r="G19" s="8">
        <f t="shared" si="0"/>
        <v>23.183925811437405</v>
      </c>
      <c r="H19" s="7">
        <f t="shared" si="1"/>
        <v>5100.4636785162293</v>
      </c>
      <c r="I19" s="7">
        <f t="shared" si="2"/>
        <v>14407.246085563151</v>
      </c>
      <c r="J19" s="7">
        <f t="shared" si="3"/>
        <v>19507.70976407938</v>
      </c>
      <c r="V19" s="5"/>
    </row>
    <row r="20" spans="1:22" x14ac:dyDescent="0.3">
      <c r="F20" s="5">
        <v>650</v>
      </c>
      <c r="G20" s="8">
        <f t="shared" si="0"/>
        <v>23.076923076923077</v>
      </c>
      <c r="H20" s="7">
        <f t="shared" si="1"/>
        <v>5076.9230769230771</v>
      </c>
      <c r="I20" s="7">
        <f t="shared" si="2"/>
        <v>14428.846085563151</v>
      </c>
      <c r="J20" s="7">
        <f t="shared" si="3"/>
        <v>19505.769162486227</v>
      </c>
      <c r="V20" s="5"/>
    </row>
    <row r="21" spans="1:22" x14ac:dyDescent="0.3">
      <c r="A21" s="5"/>
      <c r="B21" s="5"/>
      <c r="C21" s="5"/>
      <c r="F21" s="5">
        <v>653</v>
      </c>
      <c r="G21" s="8">
        <f t="shared" si="0"/>
        <v>22.970903522205205</v>
      </c>
      <c r="H21" s="7">
        <f t="shared" si="1"/>
        <v>5053.5987748851448</v>
      </c>
      <c r="I21" s="7">
        <f t="shared" si="2"/>
        <v>14450.446085563151</v>
      </c>
      <c r="J21" s="7">
        <f t="shared" si="3"/>
        <v>19504.044860448295</v>
      </c>
      <c r="V21" s="5"/>
    </row>
    <row r="22" spans="1:22" x14ac:dyDescent="0.3">
      <c r="A22" s="5"/>
      <c r="B22" s="5"/>
      <c r="C22" s="7"/>
      <c r="F22" s="5">
        <v>656</v>
      </c>
      <c r="G22" s="8">
        <f t="shared" si="0"/>
        <v>22.865853658536587</v>
      </c>
      <c r="H22" s="7">
        <f t="shared" si="1"/>
        <v>5030.4878048780492</v>
      </c>
      <c r="I22" s="7">
        <f t="shared" si="2"/>
        <v>14472.046085563152</v>
      </c>
      <c r="J22" s="7">
        <f t="shared" si="3"/>
        <v>19502.533890441202</v>
      </c>
      <c r="V22" s="5"/>
    </row>
    <row r="23" spans="1:22" x14ac:dyDescent="0.3">
      <c r="A23" s="5"/>
      <c r="B23" s="5"/>
      <c r="C23" s="9"/>
      <c r="F23" s="5">
        <v>659</v>
      </c>
      <c r="G23" s="8">
        <f t="shared" si="0"/>
        <v>22.761760242792111</v>
      </c>
      <c r="H23" s="7">
        <f t="shared" si="1"/>
        <v>5007.5872534142645</v>
      </c>
      <c r="I23" s="7">
        <f t="shared" si="2"/>
        <v>14493.64608556315</v>
      </c>
      <c r="J23" s="7">
        <f t="shared" si="3"/>
        <v>19501.233338977414</v>
      </c>
    </row>
    <row r="24" spans="1:22" x14ac:dyDescent="0.3">
      <c r="A24" s="5"/>
      <c r="B24" s="5"/>
      <c r="C24" s="7"/>
      <c r="F24" s="5">
        <v>662</v>
      </c>
      <c r="G24" s="8">
        <f t="shared" si="0"/>
        <v>22.658610271903324</v>
      </c>
      <c r="H24" s="7">
        <f t="shared" si="1"/>
        <v>4984.8942598187314</v>
      </c>
      <c r="I24" s="7">
        <f t="shared" si="2"/>
        <v>14515.246085563151</v>
      </c>
      <c r="J24" s="7">
        <f t="shared" si="3"/>
        <v>19500.140345381882</v>
      </c>
    </row>
    <row r="25" spans="1:22" x14ac:dyDescent="0.3">
      <c r="F25" s="5">
        <v>665</v>
      </c>
      <c r="G25" s="8">
        <f t="shared" si="0"/>
        <v>22.556390977443609</v>
      </c>
      <c r="H25" s="7">
        <f t="shared" si="1"/>
        <v>4962.4060150375944</v>
      </c>
      <c r="I25" s="7">
        <f t="shared" si="2"/>
        <v>14536.846085563151</v>
      </c>
      <c r="J25" s="7">
        <f t="shared" si="3"/>
        <v>19499.252100600745</v>
      </c>
    </row>
    <row r="26" spans="1:22" x14ac:dyDescent="0.3">
      <c r="A26" s="5"/>
      <c r="F26" s="5">
        <v>668</v>
      </c>
      <c r="G26" s="8">
        <f t="shared" si="0"/>
        <v>22.45508982035928</v>
      </c>
      <c r="H26" s="7">
        <f t="shared" si="1"/>
        <v>4940.1197604790414</v>
      </c>
      <c r="I26" s="7">
        <f t="shared" si="2"/>
        <v>14558.446085563151</v>
      </c>
      <c r="J26" s="7">
        <f t="shared" si="3"/>
        <v>19498.565846042191</v>
      </c>
    </row>
    <row r="27" spans="1:22" x14ac:dyDescent="0.3">
      <c r="A27" s="5"/>
      <c r="F27" s="5">
        <v>671</v>
      </c>
      <c r="G27" s="8">
        <f t="shared" si="0"/>
        <v>22.354694485842028</v>
      </c>
      <c r="H27" s="7">
        <f t="shared" si="1"/>
        <v>4918.0327868852464</v>
      </c>
      <c r="I27" s="7">
        <f t="shared" si="2"/>
        <v>14580.046085563152</v>
      </c>
      <c r="J27" s="7">
        <f t="shared" si="3"/>
        <v>19498.078872448397</v>
      </c>
    </row>
    <row r="28" spans="1:22" x14ac:dyDescent="0.3">
      <c r="A28" s="5"/>
      <c r="F28" s="5">
        <v>674</v>
      </c>
      <c r="G28" s="8">
        <f t="shared" si="0"/>
        <v>22.255192878338278</v>
      </c>
      <c r="H28" s="7">
        <f t="shared" si="1"/>
        <v>4896.1424332344213</v>
      </c>
      <c r="I28" s="7">
        <f t="shared" si="2"/>
        <v>14601.64608556315</v>
      </c>
      <c r="J28" s="7">
        <f t="shared" si="3"/>
        <v>19497.78851879757</v>
      </c>
    </row>
    <row r="29" spans="1:22" x14ac:dyDescent="0.3">
      <c r="A29" s="5"/>
      <c r="F29" s="20">
        <v>677</v>
      </c>
      <c r="G29" s="21">
        <f t="shared" si="0"/>
        <v>22.156573116691284</v>
      </c>
      <c r="H29" s="22">
        <f t="shared" si="1"/>
        <v>4874.4460856720825</v>
      </c>
      <c r="I29" s="22">
        <f t="shared" si="2"/>
        <v>14623.246085563151</v>
      </c>
      <c r="J29" s="22">
        <f t="shared" si="3"/>
        <v>19497.692171235234</v>
      </c>
    </row>
    <row r="30" spans="1:22" x14ac:dyDescent="0.3">
      <c r="A30" s="5"/>
      <c r="F30" s="5">
        <v>680</v>
      </c>
      <c r="G30" s="8">
        <f t="shared" si="0"/>
        <v>22.058823529411764</v>
      </c>
      <c r="H30" s="7">
        <f t="shared" si="1"/>
        <v>4852.9411764705883</v>
      </c>
      <c r="I30" s="7">
        <f t="shared" si="2"/>
        <v>14644.846085563151</v>
      </c>
      <c r="J30" s="7">
        <f t="shared" si="3"/>
        <v>19497.78726203374</v>
      </c>
    </row>
    <row r="31" spans="1:22" x14ac:dyDescent="0.3">
      <c r="A31" s="5"/>
      <c r="F31" s="5">
        <v>683</v>
      </c>
      <c r="G31" s="8">
        <f t="shared" si="0"/>
        <v>21.961932650073205</v>
      </c>
      <c r="H31" s="7">
        <f t="shared" si="1"/>
        <v>4831.6251830161054</v>
      </c>
      <c r="I31" s="7">
        <f t="shared" si="2"/>
        <v>14666.446085563151</v>
      </c>
      <c r="J31" s="7">
        <f t="shared" si="3"/>
        <v>19498.071268579257</v>
      </c>
    </row>
    <row r="32" spans="1:22" x14ac:dyDescent="0.3">
      <c r="A32" s="5"/>
      <c r="F32" s="5">
        <v>686</v>
      </c>
      <c r="G32" s="8">
        <f t="shared" si="0"/>
        <v>21.865889212827987</v>
      </c>
      <c r="H32" s="7">
        <f t="shared" si="1"/>
        <v>4810.4956268221576</v>
      </c>
      <c r="I32" s="7">
        <f t="shared" si="2"/>
        <v>14688.046085563152</v>
      </c>
      <c r="J32" s="7">
        <f t="shared" si="3"/>
        <v>19498.541712385311</v>
      </c>
    </row>
    <row r="33" spans="6:10" x14ac:dyDescent="0.3">
      <c r="F33" s="5">
        <v>689</v>
      </c>
      <c r="G33" s="8">
        <f t="shared" si="0"/>
        <v>21.770682148040638</v>
      </c>
      <c r="H33" s="7">
        <f t="shared" si="1"/>
        <v>4789.5500725689408</v>
      </c>
      <c r="I33" s="7">
        <f t="shared" si="2"/>
        <v>14709.64608556315</v>
      </c>
      <c r="J33" s="7">
        <f t="shared" si="3"/>
        <v>19499.19615813209</v>
      </c>
    </row>
    <row r="34" spans="6:10" x14ac:dyDescent="0.3">
      <c r="F34" s="5">
        <v>692</v>
      </c>
      <c r="G34" s="8">
        <f t="shared" si="0"/>
        <v>21.676300578034681</v>
      </c>
      <c r="H34" s="7">
        <f t="shared" si="1"/>
        <v>4768.7861271676302</v>
      </c>
      <c r="I34" s="7">
        <f t="shared" si="2"/>
        <v>14731.246085563151</v>
      </c>
      <c r="J34" s="7">
        <f t="shared" si="3"/>
        <v>19500.032212730781</v>
      </c>
    </row>
    <row r="35" spans="6:10" x14ac:dyDescent="0.3">
      <c r="F35" s="5">
        <v>695</v>
      </c>
      <c r="G35" s="8">
        <f t="shared" si="0"/>
        <v>21.582733812949641</v>
      </c>
      <c r="H35" s="7">
        <f t="shared" si="1"/>
        <v>4748.2014388489206</v>
      </c>
      <c r="I35" s="7">
        <f t="shared" si="2"/>
        <v>14752.846085563151</v>
      </c>
      <c r="J35" s="7">
        <f t="shared" si="3"/>
        <v>19501.047524412072</v>
      </c>
    </row>
    <row r="36" spans="6:10" x14ac:dyDescent="0.3">
      <c r="F36" s="5">
        <v>698</v>
      </c>
      <c r="G36" s="8">
        <f t="shared" si="0"/>
        <v>21.48997134670487</v>
      </c>
      <c r="H36" s="7">
        <f t="shared" si="1"/>
        <v>4727.7936962750709</v>
      </c>
      <c r="I36" s="7">
        <f t="shared" si="2"/>
        <v>14774.446085563151</v>
      </c>
      <c r="J36" s="7">
        <f t="shared" si="3"/>
        <v>19502.239781838223</v>
      </c>
    </row>
    <row r="37" spans="6:10" x14ac:dyDescent="0.3">
      <c r="F37" s="5">
        <v>701</v>
      </c>
      <c r="G37" s="8">
        <f t="shared" si="0"/>
        <v>21.398002853067048</v>
      </c>
      <c r="H37" s="7">
        <f t="shared" si="1"/>
        <v>4707.5606276747503</v>
      </c>
      <c r="I37" s="7">
        <f t="shared" si="2"/>
        <v>14796.046085563152</v>
      </c>
      <c r="J37" s="7">
        <f t="shared" si="3"/>
        <v>19503.606713237903</v>
      </c>
    </row>
    <row r="38" spans="6:10" x14ac:dyDescent="0.3">
      <c r="F38" s="5">
        <v>704</v>
      </c>
      <c r="G38" s="8">
        <f t="shared" si="0"/>
        <v>21.306818181818183</v>
      </c>
      <c r="H38" s="7">
        <f t="shared" si="1"/>
        <v>4687.5</v>
      </c>
      <c r="I38" s="7">
        <f t="shared" si="2"/>
        <v>14817.64608556315</v>
      </c>
      <c r="J38" s="7">
        <f t="shared" si="3"/>
        <v>19505.146085563152</v>
      </c>
    </row>
    <row r="39" spans="6:10" x14ac:dyDescent="0.3">
      <c r="F39" s="5">
        <v>707</v>
      </c>
      <c r="G39" s="8">
        <f t="shared" si="0"/>
        <v>21.216407355021218</v>
      </c>
      <c r="H39" s="7">
        <f t="shared" si="1"/>
        <v>4667.6096181046678</v>
      </c>
      <c r="I39" s="7">
        <f t="shared" si="2"/>
        <v>14839.246085563151</v>
      </c>
      <c r="J39" s="7">
        <f t="shared" si="3"/>
        <v>19506.855703667818</v>
      </c>
    </row>
    <row r="40" spans="6:10" x14ac:dyDescent="0.3">
      <c r="F40" s="5">
        <v>710</v>
      </c>
      <c r="G40" s="8">
        <f t="shared" si="0"/>
        <v>21.12676056338028</v>
      </c>
      <c r="H40" s="7">
        <f t="shared" si="1"/>
        <v>4647.8873239436616</v>
      </c>
      <c r="I40" s="7">
        <f t="shared" si="2"/>
        <v>14860.846085563151</v>
      </c>
      <c r="J40" s="7">
        <f t="shared" si="3"/>
        <v>19508.733409506814</v>
      </c>
    </row>
    <row r="41" spans="6:10" x14ac:dyDescent="0.3">
      <c r="F41" s="5">
        <v>713</v>
      </c>
      <c r="G41" s="8">
        <f t="shared" si="0"/>
        <v>21.037868162692845</v>
      </c>
      <c r="H41" s="7">
        <f t="shared" si="1"/>
        <v>4628.3309957924257</v>
      </c>
      <c r="I41" s="7">
        <f t="shared" si="2"/>
        <v>14882.446085563151</v>
      </c>
      <c r="J41" s="7">
        <f t="shared" si="3"/>
        <v>19510.777081355576</v>
      </c>
    </row>
    <row r="42" spans="6:10" x14ac:dyDescent="0.3">
      <c r="F42" s="5">
        <v>716</v>
      </c>
      <c r="G42" s="8">
        <f t="shared" si="0"/>
        <v>20.949720670391063</v>
      </c>
      <c r="H42" s="7">
        <f t="shared" si="1"/>
        <v>4608.9385474860337</v>
      </c>
      <c r="I42" s="7">
        <f t="shared" si="2"/>
        <v>14904.046085563152</v>
      </c>
      <c r="J42" s="7">
        <f t="shared" si="3"/>
        <v>19512.984633049186</v>
      </c>
    </row>
    <row r="43" spans="6:10" x14ac:dyDescent="0.3">
      <c r="F43" s="5">
        <v>719</v>
      </c>
      <c r="G43" s="8">
        <f t="shared" si="0"/>
        <v>20.862308762169679</v>
      </c>
      <c r="H43" s="7">
        <f t="shared" si="1"/>
        <v>4589.7079276773293</v>
      </c>
      <c r="I43" s="7">
        <f t="shared" si="2"/>
        <v>14925.64608556315</v>
      </c>
      <c r="J43" s="7">
        <f t="shared" si="3"/>
        <v>19515.354013240481</v>
      </c>
    </row>
    <row r="44" spans="6:10" x14ac:dyDescent="0.3">
      <c r="F44" s="5">
        <v>722</v>
      </c>
      <c r="G44" s="8">
        <f t="shared" si="0"/>
        <v>20.775623268698062</v>
      </c>
      <c r="H44" s="7">
        <f t="shared" si="1"/>
        <v>4570.637119113574</v>
      </c>
      <c r="I44" s="7">
        <f t="shared" si="2"/>
        <v>14947.246085563151</v>
      </c>
      <c r="J44" s="7">
        <f t="shared" si="3"/>
        <v>19517.883204676724</v>
      </c>
    </row>
    <row r="45" spans="6:10" x14ac:dyDescent="0.3">
      <c r="F45" s="5">
        <v>725</v>
      </c>
      <c r="G45" s="8">
        <f t="shared" si="0"/>
        <v>20.689655172413794</v>
      </c>
      <c r="H45" s="7">
        <f t="shared" si="1"/>
        <v>4551.7241379310344</v>
      </c>
      <c r="I45" s="7">
        <f t="shared" si="2"/>
        <v>14968.846085563151</v>
      </c>
      <c r="J45" s="7">
        <f t="shared" si="3"/>
        <v>19520.570223494185</v>
      </c>
    </row>
    <row r="46" spans="6:10" x14ac:dyDescent="0.3">
      <c r="F46" s="5">
        <v>728</v>
      </c>
      <c r="G46" s="8">
        <f t="shared" si="0"/>
        <v>20.604395604395606</v>
      </c>
      <c r="H46" s="7">
        <f t="shared" si="1"/>
        <v>4532.9670329670334</v>
      </c>
      <c r="I46" s="7">
        <f t="shared" si="2"/>
        <v>14990.446085563151</v>
      </c>
      <c r="J46" s="7">
        <f t="shared" si="3"/>
        <v>19523.413118530185</v>
      </c>
    </row>
    <row r="47" spans="6:10" x14ac:dyDescent="0.3">
      <c r="F47" s="5">
        <v>731</v>
      </c>
      <c r="G47" s="8">
        <f t="shared" si="0"/>
        <v>20.51983584131327</v>
      </c>
      <c r="H47" s="7">
        <f t="shared" si="1"/>
        <v>4514.3638850889192</v>
      </c>
      <c r="I47" s="7">
        <f t="shared" si="2"/>
        <v>15012.046085563152</v>
      </c>
      <c r="J47" s="7">
        <f t="shared" si="3"/>
        <v>19526.409970652072</v>
      </c>
    </row>
    <row r="48" spans="6:10" x14ac:dyDescent="0.3">
      <c r="F48" s="5">
        <v>734</v>
      </c>
      <c r="G48" s="8">
        <f t="shared" si="0"/>
        <v>20.435967302452315</v>
      </c>
      <c r="H48" s="7">
        <f t="shared" si="1"/>
        <v>4495.9128065395098</v>
      </c>
      <c r="I48" s="7">
        <f t="shared" si="2"/>
        <v>15033.64608556315</v>
      </c>
      <c r="J48" s="7">
        <f t="shared" si="3"/>
        <v>19529.558892102661</v>
      </c>
    </row>
    <row r="49" spans="6:10" x14ac:dyDescent="0.3">
      <c r="F49" s="5">
        <v>737</v>
      </c>
      <c r="G49" s="8">
        <f t="shared" si="0"/>
        <v>20.352781546811396</v>
      </c>
      <c r="H49" s="7">
        <f t="shared" si="1"/>
        <v>4477.6119402985069</v>
      </c>
      <c r="I49" s="7">
        <f t="shared" si="2"/>
        <v>15055.246085563151</v>
      </c>
      <c r="J49" s="7">
        <f t="shared" si="3"/>
        <v>19532.858025861657</v>
      </c>
    </row>
    <row r="50" spans="6:10" x14ac:dyDescent="0.3">
      <c r="F50" s="5">
        <v>740</v>
      </c>
      <c r="G50" s="8">
        <f t="shared" si="0"/>
        <v>20.27027027027027</v>
      </c>
      <c r="H50" s="7">
        <f t="shared" si="1"/>
        <v>4459.4594594594591</v>
      </c>
      <c r="I50" s="7">
        <f t="shared" si="2"/>
        <v>15076.846085563151</v>
      </c>
      <c r="J50" s="7">
        <f t="shared" si="3"/>
        <v>19536.305545022609</v>
      </c>
    </row>
    <row r="51" spans="6:10" x14ac:dyDescent="0.3">
      <c r="F51" s="5">
        <v>743</v>
      </c>
      <c r="G51" s="8">
        <f t="shared" si="0"/>
        <v>20.188425302826378</v>
      </c>
      <c r="H51" s="7">
        <f t="shared" si="1"/>
        <v>4441.4535666218035</v>
      </c>
      <c r="I51" s="7">
        <f t="shared" si="2"/>
        <v>15098.446085563151</v>
      </c>
      <c r="J51" s="7">
        <f t="shared" si="3"/>
        <v>19539.899652184955</v>
      </c>
    </row>
    <row r="52" spans="6:10" x14ac:dyDescent="0.3">
      <c r="F52" s="5">
        <v>746</v>
      </c>
      <c r="G52" s="8">
        <f t="shared" si="0"/>
        <v>20.107238605898122</v>
      </c>
      <c r="H52" s="7">
        <f t="shared" si="1"/>
        <v>4423.5924932975868</v>
      </c>
      <c r="I52" s="7">
        <f t="shared" si="2"/>
        <v>15120.046085563152</v>
      </c>
      <c r="J52" s="7">
        <f t="shared" si="3"/>
        <v>19543.638578860737</v>
      </c>
    </row>
    <row r="53" spans="6:10" x14ac:dyDescent="0.3">
      <c r="F53" s="5"/>
      <c r="G53" s="8"/>
      <c r="H53" s="7"/>
      <c r="I53" s="7"/>
      <c r="J53" s="7"/>
    </row>
    <row r="54" spans="6:10" x14ac:dyDescent="0.3">
      <c r="F54" s="5"/>
      <c r="G54" s="8"/>
      <c r="H54" s="7"/>
      <c r="I54" s="7"/>
      <c r="J54" s="7"/>
    </row>
    <row r="55" spans="6:10" x14ac:dyDescent="0.3">
      <c r="F55" s="5"/>
      <c r="G55" s="8"/>
      <c r="H55" s="7"/>
      <c r="I55" s="7"/>
      <c r="J55" s="7"/>
    </row>
    <row r="56" spans="6:10" x14ac:dyDescent="0.3">
      <c r="F56" s="5"/>
      <c r="G56" s="8"/>
      <c r="H56" s="7"/>
      <c r="I56" s="7"/>
      <c r="J56" s="7"/>
    </row>
    <row r="57" spans="6:10" x14ac:dyDescent="0.3">
      <c r="F57" s="5"/>
      <c r="G57" s="8"/>
      <c r="H57" s="7"/>
      <c r="I57" s="7"/>
      <c r="J57" s="7"/>
    </row>
    <row r="58" spans="6:10" x14ac:dyDescent="0.3">
      <c r="F58" s="5"/>
      <c r="G58" s="8"/>
      <c r="H58" s="7"/>
      <c r="I58" s="7"/>
      <c r="J58" s="7"/>
    </row>
    <row r="59" spans="6:10" x14ac:dyDescent="0.3">
      <c r="F59" s="5"/>
      <c r="G59" s="8"/>
      <c r="H59" s="7"/>
      <c r="I59" s="7"/>
      <c r="J59" s="7"/>
    </row>
    <row r="60" spans="6:10" x14ac:dyDescent="0.3">
      <c r="F60" s="5"/>
      <c r="G60" s="8"/>
      <c r="H60" s="7"/>
      <c r="I60" s="7"/>
      <c r="J60" s="7"/>
    </row>
    <row r="61" spans="6:10" x14ac:dyDescent="0.3">
      <c r="F61" s="5"/>
      <c r="G61" s="8"/>
      <c r="H61" s="7"/>
      <c r="I61" s="7"/>
      <c r="J61" s="7"/>
    </row>
    <row r="62" spans="6:10" x14ac:dyDescent="0.3">
      <c r="F62" s="5"/>
      <c r="G62" s="8"/>
      <c r="H62" s="7"/>
      <c r="I62" s="7"/>
      <c r="J62" s="7"/>
    </row>
    <row r="63" spans="6:10" x14ac:dyDescent="0.3">
      <c r="F63" s="5"/>
      <c r="G63" s="8"/>
      <c r="H63" s="7"/>
      <c r="I63" s="7"/>
      <c r="J63" s="7"/>
    </row>
    <row r="64" spans="6:10" x14ac:dyDescent="0.3">
      <c r="F64" s="5"/>
      <c r="G64" s="8"/>
      <c r="H64" s="7"/>
      <c r="I64" s="7"/>
      <c r="J64" s="7"/>
    </row>
    <row r="65" spans="6:10" x14ac:dyDescent="0.3">
      <c r="F65" s="5"/>
      <c r="G65" s="8"/>
      <c r="H65" s="7"/>
      <c r="I65" s="7"/>
      <c r="J65" s="7"/>
    </row>
    <row r="66" spans="6:10" x14ac:dyDescent="0.3">
      <c r="F66" s="5"/>
      <c r="G66" s="8"/>
      <c r="H66" s="7"/>
      <c r="I66" s="7"/>
      <c r="J66" s="7"/>
    </row>
    <row r="67" spans="6:10" x14ac:dyDescent="0.3">
      <c r="F67" s="5"/>
      <c r="G67" s="8"/>
      <c r="H67" s="7"/>
      <c r="I67" s="7"/>
      <c r="J67" s="7"/>
    </row>
    <row r="68" spans="6:10" x14ac:dyDescent="0.3">
      <c r="F68" s="5"/>
      <c r="G68" s="8"/>
      <c r="H68" s="7"/>
      <c r="I68" s="7"/>
      <c r="J68" s="7"/>
    </row>
    <row r="69" spans="6:10" x14ac:dyDescent="0.3">
      <c r="F69" s="5"/>
      <c r="G69" s="8"/>
      <c r="H69" s="7"/>
      <c r="I69" s="7"/>
      <c r="J69" s="7"/>
    </row>
    <row r="70" spans="6:10" x14ac:dyDescent="0.3">
      <c r="F70" s="5"/>
      <c r="G70" s="8"/>
      <c r="H70" s="7"/>
      <c r="I70" s="7"/>
      <c r="J70" s="7"/>
    </row>
    <row r="71" spans="6:10" x14ac:dyDescent="0.3">
      <c r="F71" s="5"/>
      <c r="G71" s="8"/>
      <c r="H71" s="7"/>
      <c r="I71" s="7"/>
      <c r="J71" s="7"/>
    </row>
    <row r="72" spans="6:10" x14ac:dyDescent="0.3">
      <c r="F72" s="5"/>
      <c r="G72" s="8"/>
      <c r="H72" s="7"/>
      <c r="I72" s="7"/>
      <c r="J72" s="7"/>
    </row>
    <row r="73" spans="6:10" x14ac:dyDescent="0.3">
      <c r="F73" s="5"/>
      <c r="G73" s="8"/>
      <c r="H73" s="7"/>
      <c r="I73" s="7"/>
      <c r="J73" s="7"/>
    </row>
    <row r="74" spans="6:10" x14ac:dyDescent="0.3">
      <c r="G74" s="2"/>
      <c r="H74" s="3"/>
      <c r="I74" s="3"/>
      <c r="J74" s="3"/>
    </row>
    <row r="75" spans="6:10" x14ac:dyDescent="0.3">
      <c r="G75" s="2"/>
      <c r="H75" s="3"/>
      <c r="I75" s="3"/>
      <c r="J75" s="3"/>
    </row>
    <row r="76" spans="6:10" x14ac:dyDescent="0.3">
      <c r="G76" s="2"/>
      <c r="H76" s="3"/>
      <c r="I76" s="3"/>
      <c r="J76" s="3"/>
    </row>
    <row r="77" spans="6:10" x14ac:dyDescent="0.3">
      <c r="G77" s="2"/>
      <c r="H77" s="3"/>
      <c r="I77" s="3"/>
      <c r="J77" s="3"/>
    </row>
    <row r="78" spans="6:10" x14ac:dyDescent="0.3">
      <c r="G78" s="2"/>
      <c r="H78" s="3"/>
      <c r="I78" s="3"/>
      <c r="J78" s="3"/>
    </row>
    <row r="79" spans="6:10" x14ac:dyDescent="0.3">
      <c r="G79" s="2"/>
      <c r="H79" s="3"/>
      <c r="I79" s="3"/>
      <c r="J79" s="3"/>
    </row>
    <row r="80" spans="6:10" x14ac:dyDescent="0.3">
      <c r="G80" s="2"/>
      <c r="H80" s="3"/>
      <c r="I80" s="3"/>
      <c r="J80" s="3"/>
    </row>
    <row r="81" spans="7:10" x14ac:dyDescent="0.3">
      <c r="G81" s="2"/>
      <c r="H81" s="3"/>
      <c r="I81" s="3"/>
      <c r="J81" s="3"/>
    </row>
    <row r="82" spans="7:10" x14ac:dyDescent="0.3">
      <c r="G82" s="2"/>
      <c r="H82" s="3"/>
      <c r="I82" s="3"/>
      <c r="J82" s="3"/>
    </row>
    <row r="83" spans="7:10" x14ac:dyDescent="0.3">
      <c r="G83" s="2"/>
      <c r="H83" s="3"/>
      <c r="I83" s="3"/>
      <c r="J83" s="3"/>
    </row>
    <row r="84" spans="7:10" x14ac:dyDescent="0.3">
      <c r="G84" s="2"/>
      <c r="H84" s="3"/>
      <c r="I84" s="3"/>
      <c r="J84" s="3"/>
    </row>
    <row r="85" spans="7:10" x14ac:dyDescent="0.3">
      <c r="G85" s="2"/>
      <c r="H85" s="3"/>
      <c r="I85" s="3"/>
      <c r="J85" s="3"/>
    </row>
    <row r="86" spans="7:10" x14ac:dyDescent="0.3">
      <c r="G86" s="2"/>
      <c r="H86" s="3"/>
      <c r="I86" s="3"/>
      <c r="J86" s="3"/>
    </row>
    <row r="87" spans="7:10" x14ac:dyDescent="0.3">
      <c r="G87" s="2"/>
      <c r="H87" s="3"/>
      <c r="I87" s="3"/>
      <c r="J87" s="3"/>
    </row>
    <row r="88" spans="7:10" x14ac:dyDescent="0.3">
      <c r="G88" s="2"/>
      <c r="H88" s="3"/>
      <c r="I88" s="3"/>
      <c r="J88" s="3"/>
    </row>
    <row r="89" spans="7:10" x14ac:dyDescent="0.3">
      <c r="G89" s="2"/>
      <c r="H89" s="3"/>
      <c r="I89" s="3"/>
      <c r="J89" s="3"/>
    </row>
    <row r="90" spans="7:10" x14ac:dyDescent="0.3">
      <c r="G90" s="2"/>
      <c r="H90" s="3"/>
      <c r="I90" s="3"/>
      <c r="J90" s="3"/>
    </row>
    <row r="91" spans="7:10" x14ac:dyDescent="0.3">
      <c r="G91" s="2"/>
      <c r="H91" s="3"/>
      <c r="I91" s="3"/>
      <c r="J91" s="3"/>
    </row>
    <row r="92" spans="7:10" x14ac:dyDescent="0.3">
      <c r="G92" s="2"/>
      <c r="H92" s="3"/>
      <c r="I92" s="3"/>
      <c r="J92" s="3"/>
    </row>
    <row r="93" spans="7:10" x14ac:dyDescent="0.3">
      <c r="G93" s="2"/>
      <c r="H93" s="3"/>
      <c r="I93" s="3"/>
      <c r="J93" s="3"/>
    </row>
    <row r="94" spans="7:10" x14ac:dyDescent="0.3">
      <c r="G94" s="2"/>
      <c r="H94" s="3"/>
      <c r="I94" s="3"/>
      <c r="J94" s="3"/>
    </row>
    <row r="95" spans="7:10" x14ac:dyDescent="0.3">
      <c r="G95" s="2"/>
      <c r="H95" s="3"/>
      <c r="I95" s="3"/>
      <c r="J95" s="3"/>
    </row>
    <row r="96" spans="7:10" x14ac:dyDescent="0.3">
      <c r="G96" s="2"/>
      <c r="H96" s="3"/>
      <c r="I96" s="3"/>
      <c r="J96" s="3"/>
    </row>
    <row r="97" spans="7:10" x14ac:dyDescent="0.3">
      <c r="G97" s="2"/>
      <c r="H97" s="3"/>
      <c r="I97" s="3"/>
      <c r="J97" s="3"/>
    </row>
    <row r="98" spans="7:10" x14ac:dyDescent="0.3">
      <c r="G98" s="2"/>
      <c r="H98" s="3"/>
      <c r="I98" s="3"/>
      <c r="J98" s="3"/>
    </row>
    <row r="99" spans="7:10" x14ac:dyDescent="0.3">
      <c r="G99" s="2"/>
      <c r="H99" s="3"/>
      <c r="I99" s="3"/>
      <c r="J99" s="3"/>
    </row>
    <row r="100" spans="7:10" x14ac:dyDescent="0.3">
      <c r="G100" s="2"/>
      <c r="H100" s="3"/>
      <c r="I100" s="3"/>
      <c r="J100" s="3"/>
    </row>
    <row r="101" spans="7:10" x14ac:dyDescent="0.3">
      <c r="G101" s="2"/>
      <c r="H101" s="3"/>
      <c r="I101" s="3"/>
      <c r="J101" s="3"/>
    </row>
    <row r="102" spans="7:10" x14ac:dyDescent="0.3">
      <c r="G102" s="2"/>
      <c r="H102" s="3"/>
      <c r="I102" s="3"/>
      <c r="J102" s="3"/>
    </row>
    <row r="103" spans="7:10" x14ac:dyDescent="0.3">
      <c r="G103" s="2"/>
      <c r="H103" s="3"/>
      <c r="I103" s="3"/>
      <c r="J103" s="3"/>
    </row>
  </sheetData>
  <scenarios current="0">
    <scenario name="Excel Solver" count="1" user="Kevin Pandya" comment="Created by Kevin Pandya on 3/15/2024">
      <inputCells r="C8" val="677.00320038633" numFmtId="1"/>
    </scenario>
  </scenarios>
  <mergeCells count="3">
    <mergeCell ref="V1:AF1"/>
    <mergeCell ref="U3:U9"/>
    <mergeCell ref="U10:U1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f33975-7de5-43f4-9324-ea66409ee94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39A6E44CCDD04183681ED3B3C94DEE" ma:contentTypeVersion="13" ma:contentTypeDescription="Create a new document." ma:contentTypeScope="" ma:versionID="d0a475be789a413609aec5bf4e915894">
  <xsd:schema xmlns:xsd="http://www.w3.org/2001/XMLSchema" xmlns:xs="http://www.w3.org/2001/XMLSchema" xmlns:p="http://schemas.microsoft.com/office/2006/metadata/properties" xmlns:ns3="6df33975-7de5-43f4-9324-ea66409ee940" xmlns:ns4="1c0c9488-2abe-4af7-afb6-e8dfca954dcb" targetNamespace="http://schemas.microsoft.com/office/2006/metadata/properties" ma:root="true" ma:fieldsID="9a03d8fcaa269aa1e8b88b3fdd73810a" ns3:_="" ns4:_="">
    <xsd:import namespace="6df33975-7de5-43f4-9324-ea66409ee940"/>
    <xsd:import namespace="1c0c9488-2abe-4af7-afb6-e8dfca954d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f33975-7de5-43f4-9324-ea66409e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c9488-2abe-4af7-afb6-e8dfca954dc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F14779-DECA-4921-8A6D-3D27058F4BB9}">
  <ds:schemaRefs>
    <ds:schemaRef ds:uri="http://purl.org/dc/dcmitype/"/>
    <ds:schemaRef ds:uri="http://schemas.microsoft.com/office/infopath/2007/PartnerControls"/>
    <ds:schemaRef ds:uri="http://www.w3.org/XML/1998/namespace"/>
    <ds:schemaRef ds:uri="6df33975-7de5-43f4-9324-ea66409ee940"/>
    <ds:schemaRef ds:uri="1c0c9488-2abe-4af7-afb6-e8dfca954dcb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2EB0DD7-8BAF-4136-8996-E84D3AA7E0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f33975-7de5-43f4-9324-ea66409ee940"/>
    <ds:schemaRef ds:uri="1c0c9488-2abe-4af7-afb6-e8dfca954d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14D07F-AF0D-4F4B-9498-31E5B9CCB4B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Answer Report 1</vt:lpstr>
      <vt:lpstr>Sensitivity Report 1</vt:lpstr>
      <vt:lpstr>Limits Report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Tushar Pandya</dc:creator>
  <cp:lastModifiedBy>Kevin Tushar Pandya</cp:lastModifiedBy>
  <dcterms:created xsi:type="dcterms:W3CDTF">2024-03-15T15:18:27Z</dcterms:created>
  <dcterms:modified xsi:type="dcterms:W3CDTF">2024-03-17T20:51:03Z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0x0101001B39A6E44CCDD04183681ED3B3C94DEE</vt:lpwstr>
  </property>
</Properties>
</file>